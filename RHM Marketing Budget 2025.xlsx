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filterPrivacy="1" codeName="ThisWorkbook"/>
  <xr:revisionPtr revIDLastSave="592" documentId="8_{9E84C719-9788-4EEF-8F7F-2BDA820FA595}" xr6:coauthVersionLast="47" xr6:coauthVersionMax="47" xr10:uidLastSave="{0C9D78BC-F9CB-4349-8C0C-4249EF019CCE}"/>
  <bookViews>
    <workbookView xWindow="-108" yWindow="-108" windowWidth="24792" windowHeight="14856" activeTab="2" xr2:uid="{00000000-000D-0000-FFFF-FFFF00000000}"/>
  </bookViews>
  <sheets>
    <sheet name="Channel marketing budget" sheetId="1" r:id="rId1"/>
    <sheet name="Consolidated Plan" sheetId="4" r:id="rId2"/>
    <sheet name="Marketing Plan Spring 2025" sheetId="3" r:id="rId3"/>
  </sheets>
  <definedNames>
    <definedName name="_xlnm.Print_Titles" localSheetId="0">'Channel marketing budget'!$4:$4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P12" i="1" l="1"/>
  <c r="P11" i="1"/>
  <c r="I4" i="1"/>
  <c r="R4" i="1"/>
  <c r="V7" i="1"/>
  <c r="J4" i="4"/>
  <c r="V11" i="4"/>
  <c r="J11" i="4"/>
  <c r="V7" i="4"/>
  <c r="V10" i="4"/>
  <c r="N9" i="4"/>
  <c r="N4" i="4" s="1"/>
  <c r="M9" i="4"/>
  <c r="M4" i="4" s="1"/>
  <c r="L9" i="4"/>
  <c r="P8" i="4"/>
  <c r="P4" i="4" s="1"/>
  <c r="F8" i="4"/>
  <c r="F4" i="4" s="1"/>
  <c r="G7" i="4"/>
  <c r="G4" i="4" s="1"/>
  <c r="H6" i="4"/>
  <c r="J6" i="4" s="1"/>
  <c r="T4" i="4"/>
  <c r="S4" i="4"/>
  <c r="R4" i="4"/>
  <c r="I4" i="4"/>
  <c r="E4" i="4"/>
  <c r="S4" i="1"/>
  <c r="T4" i="1"/>
  <c r="V10" i="1"/>
  <c r="V11" i="1"/>
  <c r="V12" i="1"/>
  <c r="M9" i="1"/>
  <c r="M4" i="1" s="1"/>
  <c r="N9" i="1"/>
  <c r="N4" i="1" s="1"/>
  <c r="L9" i="1"/>
  <c r="F12" i="1"/>
  <c r="J12" i="1" s="1"/>
  <c r="F4" i="1"/>
  <c r="G7" i="1"/>
  <c r="G4" i="1" s="1"/>
  <c r="H6" i="1"/>
  <c r="J6" i="1" l="1"/>
  <c r="H4" i="1"/>
  <c r="P8" i="1"/>
  <c r="P4" i="1" s="1"/>
  <c r="L4" i="1"/>
  <c r="J8" i="4"/>
  <c r="Q4" i="4"/>
  <c r="H4" i="4"/>
  <c r="L4" i="4"/>
  <c r="J7" i="4"/>
  <c r="Q8" i="1"/>
  <c r="Q4" i="1" s="1"/>
  <c r="V8" i="1"/>
  <c r="V4" i="1" s="1"/>
  <c r="J8" i="1"/>
  <c r="J11" i="1"/>
  <c r="E4" i="1"/>
  <c r="J7" i="1"/>
  <c r="J4" i="1" l="1"/>
  <c r="V8" i="4"/>
  <c r="W4" i="1"/>
  <c r="V4" i="4" l="1"/>
  <c r="W4" i="4" s="1"/>
</calcChain>
</file>

<file path=xl/sharedStrings.xml><?xml version="1.0" encoding="utf-8"?>
<sst xmlns="http://schemas.openxmlformats.org/spreadsheetml/2006/main" count="289" uniqueCount="118">
  <si>
    <t>RHM Marketing Budget</t>
  </si>
  <si>
    <t xml:space="preserve"> </t>
  </si>
  <si>
    <t>Rate</t>
  </si>
  <si>
    <t>Unit</t>
  </si>
  <si>
    <t>Jan</t>
  </si>
  <si>
    <t>Feb</t>
  </si>
  <si>
    <t>Mar</t>
  </si>
  <si>
    <t>Apr</t>
  </si>
  <si>
    <t>May</t>
  </si>
  <si>
    <t>Spring Total</t>
  </si>
  <si>
    <t>Notes</t>
  </si>
  <si>
    <t>Jun</t>
  </si>
  <si>
    <t>Jul</t>
  </si>
  <si>
    <t>Aug</t>
  </si>
  <si>
    <t>Summer Total</t>
  </si>
  <si>
    <t>Sep</t>
  </si>
  <si>
    <t>Oct</t>
  </si>
  <si>
    <t>Nov</t>
  </si>
  <si>
    <t>Dec</t>
  </si>
  <si>
    <t>Fall Total</t>
  </si>
  <si>
    <t>Budget Total</t>
  </si>
  <si>
    <t xml:space="preserve">REQUESTED 2025 Marketing Budget </t>
  </si>
  <si>
    <t>COST</t>
  </si>
  <si>
    <t>Total marketing costs for the spring semester. Distributed during summer</t>
  </si>
  <si>
    <t>Enter details in Personnel table starting in cell at right. Personnel Total for each month is auto calculated at the table-end and annual Total in cell Q9. Sparkline is updated in cell S9. Next instruction is in cell A10.</t>
  </si>
  <si>
    <t>CHANNEL</t>
  </si>
  <si>
    <t>Student Media - Blueprint Summer Magazine</t>
  </si>
  <si>
    <t>per/Period</t>
  </si>
  <si>
    <r>
      <t xml:space="preserve">HALF PAGE (HORIZONTAL OR VERTICAL)
$450.00
4.75 X 11 IN OR 8.5 X 5.5 IN. </t>
    </r>
    <r>
      <rPr>
        <b/>
        <sz val="10"/>
        <color theme="5"/>
        <rFont val="Franklin Gothic Book"/>
        <family val="2"/>
        <scheme val="minor"/>
      </rPr>
      <t>Published on April 24, with 3,000 copies distributed during graduation, summer orientation (June–July), and Fall move-in day (August)—a great opportunity to reach new/returning students and their families.</t>
    </r>
  </si>
  <si>
    <t>Original BluePrint Ad will still be in use</t>
  </si>
  <si>
    <t>N/A</t>
  </si>
  <si>
    <t>Blue Print Ad from spring and summer will be used for orientation/move in.</t>
  </si>
  <si>
    <t>Student Media - Arbiter (online banner advertisment)</t>
  </si>
  <si>
    <t>per/Month</t>
  </si>
  <si>
    <r>
      <rPr>
        <sz val="10"/>
        <color rgb="FF113459"/>
        <rFont val="Franklin Gothic Book"/>
        <scheme val="minor"/>
      </rPr>
      <t xml:space="preserve">2025 print dates are:                                      February 6
February 20
</t>
    </r>
    <r>
      <rPr>
        <b/>
        <i/>
        <sz val="10"/>
        <color rgb="FF113459"/>
        <rFont val="Franklin Gothic Book"/>
        <scheme val="minor"/>
      </rPr>
      <t xml:space="preserve">March 6
</t>
    </r>
    <r>
      <rPr>
        <sz val="10"/>
        <color rgb="FF113459"/>
        <rFont val="Franklin Gothic Book"/>
        <scheme val="minor"/>
      </rPr>
      <t xml:space="preserve">April 1
April 17 </t>
    </r>
    <r>
      <rPr>
        <b/>
        <sz val="10"/>
        <color rgb="FF113459"/>
        <rFont val="Franklin Gothic Book"/>
        <scheme val="minor"/>
      </rPr>
      <t>$400.00 / MONTH
728 X 90 PX Banner 2.</t>
    </r>
  </si>
  <si>
    <t>Shuttle Stops</t>
  </si>
  <si>
    <t>per/Poster</t>
  </si>
  <si>
    <t>Free</t>
  </si>
  <si>
    <t>Free, besides cost to print posters. ($14 each). We'll target Blue/Orange Bus stop crossover points (4). Print a total of 10 posters. Do this ASAP. Cold weather means more people taking the bus as opposed to walking/biking.</t>
  </si>
  <si>
    <t>We'll change the creative to reflect the summer months. Hence the addition cost to print 10 more posters.</t>
  </si>
  <si>
    <t>We'll change the creative to reflect Fall months. Hence the addition cost to print 10 more posters.</t>
  </si>
  <si>
    <t>Digital Screens on campus</t>
  </si>
  <si>
    <t>per/Screen</t>
  </si>
  <si>
    <t xml:space="preserve">SUB or Library digital screens. Both are free of charge. </t>
  </si>
  <si>
    <t>This will still be free if we keep it to the SUB and Library, as COBE already pays for access.</t>
  </si>
  <si>
    <t xml:space="preserve">Capital BLVD Tabling </t>
  </si>
  <si>
    <t>per/Event</t>
  </si>
  <si>
    <t>Get a table out on Capital BLVD this spring.</t>
  </si>
  <si>
    <t>Tabling Event in early fall before it gets cold.</t>
  </si>
  <si>
    <t xml:space="preserve">Social Media Advertisement- Meta (IG) </t>
  </si>
  <si>
    <t>$5 a day online RHM advertisment. Focused primarily on Boise residents and BSU students. Attempt to target COBE related students specifically. End Ad in May, as most students will be leaving campus, which will mess with our targeting method.</t>
  </si>
  <si>
    <t>$5 a day online RHM advertisment. Focused primarily on Boise residents and BSU students. Attempt to target COBE related students specifically. Run for 2 months.</t>
  </si>
  <si>
    <t>Arbiter Print Ad (newspaper print out)</t>
  </si>
  <si>
    <t>per/Issue</t>
  </si>
  <si>
    <t>1/2 page print ad (per issue)* Feb 20th is our next closest date. However, this should come secondary to the magazine print drop if we need to pick between one or the other.</t>
  </si>
  <si>
    <t xml:space="preserve">ANTICIPATED Marketing Budget </t>
  </si>
  <si>
    <t xml:space="preserve">Student Media - Arbiter web banner </t>
  </si>
  <si>
    <r>
      <t xml:space="preserve">2025 print dates are:                                      February 6
February 20
</t>
    </r>
    <r>
      <rPr>
        <b/>
        <i/>
        <sz val="10"/>
        <color theme="5"/>
        <rFont val="Franklin Gothic Book"/>
        <family val="2"/>
        <scheme val="minor"/>
      </rPr>
      <t>March 6</t>
    </r>
    <r>
      <rPr>
        <sz val="10"/>
        <color theme="5"/>
        <rFont val="Franklin Gothic Book"/>
        <family val="2"/>
        <scheme val="minor"/>
      </rPr>
      <t xml:space="preserve">
April 1
April 17 </t>
    </r>
    <r>
      <rPr>
        <b/>
        <sz val="10"/>
        <color theme="5"/>
        <rFont val="Franklin Gothic Book"/>
        <family val="2"/>
        <scheme val="minor"/>
      </rPr>
      <t>$400.00 / MONTH
728 X 90 PX Banner 2.</t>
    </r>
  </si>
  <si>
    <t>Get an Ad on the website in Banner #2 spot for the new year!</t>
  </si>
  <si>
    <t>Social Media Advertisement</t>
  </si>
  <si>
    <t>On - Campus Marketing Plan</t>
  </si>
  <si>
    <t>Goal:</t>
  </si>
  <si>
    <t>Recruit current Boise State students to the RHM program</t>
  </si>
  <si>
    <t>Objective:</t>
  </si>
  <si>
    <t>Project due date:</t>
  </si>
  <si>
    <t>Develop a marketing plan with the aim to spread awareness about the RHM program by advertising in high-traffick areas around campus.</t>
  </si>
  <si>
    <t>Date: 5/3/2025</t>
  </si>
  <si>
    <t>Steps</t>
  </si>
  <si>
    <t>Description</t>
  </si>
  <si>
    <t>Tasks</t>
  </si>
  <si>
    <t>Assigned to</t>
  </si>
  <si>
    <t>Status</t>
  </si>
  <si>
    <t>Resource</t>
  </si>
  <si>
    <t>Date</t>
  </si>
  <si>
    <t>Look at Low cost advertisements</t>
  </si>
  <si>
    <t>Get info on Shuttle/Shuttle stops</t>
  </si>
  <si>
    <t>Ben Howerton</t>
  </si>
  <si>
    <t>not started</t>
  </si>
  <si>
    <t>Nicholas Duggan nicholasduggan@boisestate.edu Ph. (208) 401-6817
Transportation Planner 
Department of Public Safety</t>
  </si>
  <si>
    <r>
      <rPr>
        <b/>
        <sz val="11"/>
        <color theme="3"/>
        <rFont val="Franklin Gothic Book"/>
        <family val="2"/>
        <scheme val="minor"/>
      </rPr>
      <t xml:space="preserve">There are display boards at 8 shuttle bus stops
Size: 24" x 35" (I believe there is one stop on University Drive that is smaller -- they folded up the bottom)
</t>
    </r>
    <r>
      <rPr>
        <sz val="11"/>
        <color theme="4" tint="-0.249977111117893"/>
        <rFont val="Franklin Gothic Book"/>
        <family val="2"/>
        <scheme val="minor"/>
      </rPr>
      <t>Email/call to reserve times. (They like to keep the time to 2-weeks. The space from July 26 - Aug 19 must have been open)</t>
    </r>
    <r>
      <rPr>
        <sz val="10"/>
        <color theme="1" tint="0.14993743705557422"/>
        <rFont val="Franklin Gothic Book"/>
        <family val="2"/>
        <scheme val="minor"/>
      </rPr>
      <t xml:space="preserve">
</t>
    </r>
    <r>
      <rPr>
        <b/>
        <sz val="11"/>
        <color theme="3"/>
        <rFont val="Franklin Gothic Book"/>
        <family val="2"/>
        <scheme val="minor"/>
      </rPr>
      <t>Deliver posters to Capitol Village 3#</t>
    </r>
    <r>
      <rPr>
        <sz val="10"/>
        <color theme="1" tint="0.14993743705557422"/>
        <rFont val="Franklin Gothic Book"/>
        <family val="2"/>
        <scheme val="minor"/>
      </rPr>
      <t xml:space="preserve">
</t>
    </r>
    <r>
      <rPr>
        <sz val="11"/>
        <color theme="4" tint="-0.249977111117893"/>
        <rFont val="Franklin Gothic Book"/>
        <family val="2"/>
        <scheme val="minor"/>
      </rPr>
      <t>Posters can be taken down and kept to reuse if we ask them to save them ( this may require a reminder close to the end date).</t>
    </r>
  </si>
  <si>
    <t>TBD</t>
  </si>
  <si>
    <t>Locate high traffick areas for potential digital advertisements/banners/pamphlets/etc.</t>
  </si>
  <si>
    <t xml:space="preserve">Determine where our ads will be most effective by </t>
  </si>
  <si>
    <t>Not Started</t>
  </si>
  <si>
    <t>https://maps.boisestate.edu/?id=715#!ct/8943,78743,78744,78745?s/</t>
  </si>
  <si>
    <t>Use the map and Word of Mouth from students to determine the highest traffick areas for RHM ads.</t>
  </si>
  <si>
    <t>Locate all on campus shuttle bus stops</t>
  </si>
  <si>
    <t>Use mapping software to locate options for shuttle stop advertismenet</t>
  </si>
  <si>
    <t>Finished</t>
  </si>
  <si>
    <t>https://moovitapp.com/boise_id-5094/lines/blue/37334019/5152456/en?ref=2&amp;customerId=4908</t>
  </si>
  <si>
    <r>
      <t xml:space="preserve">Focal Points/Areas of Interest: </t>
    </r>
    <r>
      <rPr>
        <b/>
        <sz val="11"/>
        <color theme="3"/>
        <rFont val="Franklin Gothic Book"/>
        <family val="2"/>
        <scheme val="minor"/>
      </rPr>
      <t>Blue Bus: CAMPUS ROUTE</t>
    </r>
    <r>
      <rPr>
        <sz val="10"/>
        <color theme="1" tint="0.14993743705557422"/>
        <rFont val="Franklin Gothic Book"/>
        <family val="2"/>
        <scheme val="minor"/>
      </rPr>
      <t xml:space="preserve">
W University Dr &amp; S Joyce St Nwm
Chrisway/Ilc
W University Dr &amp; S Brady St Nwc
Micron Business &amp; Economics Bldg.
Towers Hall Dorms
Science &amp; Education Bldg.
Library
Theatre Lane
Chaffee Hall
Chaffee Hall Front Entr.
Caven Williams Sports Complex
Bleymaier Football Ctr.
East Albertsons Std.
Stadium South Lot
Academic &amp; Career Ctr.
Bronco Lane
Boise State Transit Center
W University Dr &amp; S Joyce St Nwm</t>
    </r>
  </si>
  <si>
    <t>Locate all DT shuttle bus stops</t>
  </si>
  <si>
    <r>
      <t xml:space="preserve">Focal Points/Areas of Interest: </t>
    </r>
    <r>
      <rPr>
        <b/>
        <sz val="11"/>
        <color theme="4" tint="-0.249977111117893"/>
        <rFont val="Franklin Gothic Book"/>
        <family val="2"/>
        <scheme val="minor"/>
      </rPr>
      <t>Orange Bus: DT ROUTE</t>
    </r>
    <r>
      <rPr>
        <sz val="10"/>
        <color theme="1" tint="0.14993743705557422"/>
        <rFont val="Franklin Gothic Book"/>
        <family val="2"/>
        <scheme val="minor"/>
      </rPr>
      <t xml:space="preserve">
W University Dr &amp; S Joyce St Nwm
ID AB554
Chrisway/Ilc
W University Dr &amp; S Brady St Nwc
Lusk And Island
Lusk And Royal
Downtown
W Main St &amp; N 1st St Swc
Broadway Park Center
University Dr &amp; Denver Ave.
Stadium South Lot
Bronco Lane &amp; Stadium
Academic &amp; Career Ctr.
Bronco Lane
Boise State Transit Center
W University Dr &amp; S Joyce St Nwm</t>
    </r>
  </si>
  <si>
    <t xml:space="preserve">Determine crossover stops between buses. </t>
  </si>
  <si>
    <t>More buses at single stop means more foot traffic. Focus on these stops specifically, as they will have the highest volume of ad "views"</t>
  </si>
  <si>
    <t xml:space="preserve">Crossover Points between Blue and Orange Busses: W university DR &amp; S Joyce st: Boise State Transit Center: Bronco Lane: Chrisway/LLC: Academic and Career Center: </t>
  </si>
  <si>
    <t xml:space="preserve">Discuss pricing and ad development with Ann for on campus marketing  </t>
  </si>
  <si>
    <t>Meeting with Ann</t>
  </si>
  <si>
    <t>ANN HOTTINGER 
Graphic Designer / Sr. Manager
Communications and Marketing Boise State University
Email: annhottinger@boisestate.edu</t>
  </si>
  <si>
    <t xml:space="preserve">Mention other on campus media development possibilities: Flyers, digital screens, banners, and bus stop. Focus on FREE advertising for summer. </t>
  </si>
  <si>
    <t>Meet with Bose State student media for pricing</t>
  </si>
  <si>
    <t>Develop plan for RHM media with student media team</t>
  </si>
  <si>
    <t>In Progress</t>
  </si>
  <si>
    <t>https://www.boisestate.edu/studentmedia/</t>
  </si>
  <si>
    <t>Josh LaPine
Advertising and Sales Manager
Call: 208-426-6302
ads@stumedia.boisestate.edu TheArbiter.com, receives over 20,000 views per month, and we distribute 2,000 copies of our biweekly print newspaper on campus and downtown Boise. Our 2025 print dates are:
February 6
February 20
March 6
April 1
April 17
Additionally, The BluePrint summer magazine will be published on April 24, with 3,000 copies distributed during graduation, summer orientation (June–July), and Fall move-in day (August) RHM 10% Discount.</t>
  </si>
  <si>
    <t>Develop budget with RHM team based on media plan.</t>
  </si>
  <si>
    <t>Schedule a meeting with Ashley, Kent, and Kili to discuss budget.</t>
  </si>
  <si>
    <t>We won't be able to do everything. Pick outlet with potential for greatest ROI</t>
  </si>
  <si>
    <t>Hand out flyers to hospitality industry related businesses in the Treasure Valley.</t>
  </si>
  <si>
    <t>Focus on engaging with businesses that have Boise State students</t>
  </si>
  <si>
    <t>https://aeroleads.com/list/top-hospitality-companies-in-boise</t>
  </si>
  <si>
    <t>Determine possiblity of tabling events on campus roads</t>
  </si>
  <si>
    <t xml:space="preserve">Ask Gail about tabling event on Capitol BLVD and University Blvd </t>
  </si>
  <si>
    <t>Gail Puccetti
Building Manager
MBEB 1213B
Call: (208) 426-3159
gailpuccetti@boisestate.edu</t>
  </si>
  <si>
    <t>Determine best contact to reach out to for outdoor campus tabling. Is Gail a good contact??</t>
  </si>
  <si>
    <t>Schedule and Conduct tabling event</t>
  </si>
  <si>
    <t>Confirm Tabling events with Christine, Aisling, and Ashley</t>
  </si>
  <si>
    <t xml:space="preserve">Optimal Tabling Locations: University BLVD and Capitol BLVD. Focus on Brady garage sidewalk. Heavy traffick area with a large proportion of COBE students. Captitol BLVD and University BLVD offer access to student crossing highway. Table at the stop light next to COBE. Students will be required to wait right next to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</si>
</sst>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44" formatCode="_(&quot;$&quot;* #,##0.00_);_(&quot;$&quot;* \(#,##0.00\);_(&quot;$&quot;* &quot;-&quot;??_);_(@_)"/>
    <numFmt numFmtId="164" formatCode="&quot;$&quot;#,##0.00"/>
  </numFmts>
  <fonts count="56">
    <font>
      <sz val="10"/>
      <color theme="1" tint="0.14993743705557422"/>
      <name val="Franklin Gothic Book"/>
      <family val="2"/>
      <scheme val="minor"/>
    </font>
    <font>
      <sz val="11"/>
      <color theme="1" tint="0.14999847407452621"/>
      <name val="Franklin Gothic Book"/>
      <family val="2"/>
      <scheme val="minor"/>
    </font>
    <font>
      <sz val="10"/>
      <color theme="1" tint="0.14999847407452621"/>
      <name val="Franklin Gothic Book"/>
      <family val="2"/>
      <scheme val="minor"/>
    </font>
    <font>
      <sz val="11"/>
      <color theme="4"/>
      <name val="Franklin Gothic Medium"/>
      <family val="2"/>
      <scheme val="major"/>
    </font>
    <font>
      <sz val="11"/>
      <color theme="0"/>
      <name val="Franklin Gothic Medium"/>
      <family val="2"/>
      <scheme val="major"/>
    </font>
    <font>
      <b/>
      <sz val="26"/>
      <color theme="4"/>
      <name val="Franklin Gothic Medium"/>
      <family val="2"/>
      <scheme val="major"/>
    </font>
    <font>
      <sz val="11"/>
      <color theme="3"/>
      <name val="Franklin Gothic Medium"/>
      <family val="2"/>
      <scheme val="major"/>
    </font>
    <font>
      <sz val="11"/>
      <color theme="0"/>
      <name val="Franklin Gothic Book"/>
      <family val="2"/>
      <scheme val="minor"/>
    </font>
    <font>
      <sz val="10"/>
      <color theme="0"/>
      <name val="Franklin Gothic Book"/>
      <family val="2"/>
      <scheme val="minor"/>
    </font>
    <font>
      <b/>
      <sz val="48"/>
      <color rgb="FF12355B"/>
      <name val="Franklin Gothic Medium"/>
      <family val="2"/>
      <scheme val="major"/>
    </font>
    <font>
      <b/>
      <sz val="13"/>
      <color theme="0"/>
      <name val="Franklin Gothic Medium"/>
      <family val="2"/>
      <scheme val="major"/>
    </font>
    <font>
      <b/>
      <sz val="12"/>
      <color theme="0"/>
      <name val="Franklin Gothic Medium"/>
      <family val="2"/>
      <scheme val="major"/>
    </font>
    <font>
      <b/>
      <sz val="13"/>
      <color rgb="FFE2F0FD"/>
      <name val="Franklin Gothic Medium"/>
      <family val="2"/>
      <scheme val="major"/>
    </font>
    <font>
      <b/>
      <sz val="13"/>
      <color theme="2"/>
      <name val="Franklin Gothic Medium"/>
      <family val="2"/>
      <scheme val="major"/>
    </font>
    <font>
      <sz val="11"/>
      <color theme="1" tint="0.14999847407452621"/>
      <name val="Franklin Gothic Medium"/>
      <family val="2"/>
      <scheme val="major"/>
    </font>
    <font>
      <b/>
      <sz val="13"/>
      <color rgb="FF12355B"/>
      <name val="Franklin Gothic Book"/>
      <family val="2"/>
      <scheme val="minor"/>
    </font>
    <font>
      <b/>
      <sz val="12"/>
      <color rgb="FF12355B"/>
      <name val="Franklin Gothic Book"/>
      <family val="2"/>
      <scheme val="minor"/>
    </font>
    <font>
      <sz val="11"/>
      <color theme="4"/>
      <name val="Franklin Gothic Book"/>
      <family val="2"/>
      <scheme val="minor"/>
    </font>
    <font>
      <b/>
      <sz val="12"/>
      <color rgb="FF1B335A"/>
      <name val="Franklin Gothic Book"/>
      <family val="2"/>
      <scheme val="minor"/>
    </font>
    <font>
      <b/>
      <sz val="18"/>
      <color theme="0"/>
      <name val="Franklin Gothic Book"/>
      <family val="2"/>
      <scheme val="minor"/>
    </font>
    <font>
      <sz val="12"/>
      <color theme="3" tint="0.34998626667073579"/>
      <name val="Franklin Gothic Book"/>
      <family val="2"/>
      <scheme val="minor"/>
    </font>
    <font>
      <b/>
      <sz val="18"/>
      <color theme="1" tint="0.14999847407452621"/>
      <name val="Franklin Gothic Book"/>
      <family val="2"/>
      <scheme val="minor"/>
    </font>
    <font>
      <sz val="12"/>
      <color rgb="FF1B335A"/>
      <name val="Franklin Gothic Book"/>
      <family val="2"/>
      <scheme val="minor"/>
    </font>
    <font>
      <sz val="11"/>
      <color rgb="FF00B050"/>
      <name val="Franklin Gothic Book"/>
      <family val="2"/>
      <scheme val="minor"/>
    </font>
    <font>
      <sz val="13"/>
      <color rgb="FF1B335A"/>
      <name val="Franklin Gothic Book"/>
      <family val="2"/>
      <scheme val="minor"/>
    </font>
    <font>
      <b/>
      <sz val="48"/>
      <color rgb="FF12355B"/>
      <name val="Arial"/>
      <family val="2"/>
    </font>
    <font>
      <sz val="8"/>
      <name val="Franklin Gothic Book"/>
      <family val="2"/>
      <scheme val="minor"/>
    </font>
    <font>
      <sz val="13"/>
      <color theme="5"/>
      <name val="Franklin Gothic Book"/>
      <family val="2"/>
      <scheme val="minor"/>
    </font>
    <font>
      <sz val="12"/>
      <color theme="5"/>
      <name val="Franklin Gothic Book"/>
      <family val="2"/>
      <scheme val="minor"/>
    </font>
    <font>
      <sz val="10"/>
      <color theme="1" tint="0.14993743705557422"/>
      <name val="Franklin Gothic Book"/>
      <family val="2"/>
      <scheme val="minor"/>
    </font>
    <font>
      <b/>
      <sz val="11"/>
      <color theme="3"/>
      <name val="Franklin Gothic Book"/>
      <family val="2"/>
      <scheme val="minor"/>
    </font>
    <font>
      <b/>
      <sz val="14"/>
      <color theme="0"/>
      <name val="Franklin Gothic Book"/>
      <family val="2"/>
      <scheme val="minor"/>
    </font>
    <font>
      <b/>
      <sz val="10"/>
      <color rgb="FF12355B"/>
      <name val="Franklin Gothic Book"/>
      <family val="2"/>
      <scheme val="minor"/>
    </font>
    <font>
      <sz val="10"/>
      <color theme="5"/>
      <name val="Franklin Gothic Book"/>
      <family val="2"/>
      <scheme val="minor"/>
    </font>
    <font>
      <b/>
      <sz val="10"/>
      <color theme="5"/>
      <name val="Franklin Gothic Book"/>
      <family val="2"/>
      <scheme val="minor"/>
    </font>
    <font>
      <b/>
      <i/>
      <sz val="10"/>
      <color theme="5"/>
      <name val="Franklin Gothic Book"/>
      <family val="2"/>
      <scheme val="minor"/>
    </font>
    <font>
      <sz val="10"/>
      <color rgb="FF1B335A"/>
      <name val="Franklin Gothic Book"/>
      <family val="2"/>
      <scheme val="minor"/>
    </font>
    <font>
      <u/>
      <sz val="10"/>
      <color theme="10"/>
      <name val="Franklin Gothic Book"/>
      <family val="2"/>
      <scheme val="minor"/>
    </font>
    <font>
      <sz val="12"/>
      <color theme="0"/>
      <name val="Franklin Gothic Book"/>
      <family val="2"/>
      <scheme val="minor"/>
    </font>
    <font>
      <sz val="14"/>
      <color theme="3"/>
      <name val="Franklin Gothic Book"/>
      <family val="2"/>
      <scheme val="minor"/>
    </font>
    <font>
      <sz val="18"/>
      <color theme="3"/>
      <name val="Franklin Gothic Book"/>
      <family val="2"/>
      <scheme val="minor"/>
    </font>
    <font>
      <sz val="11"/>
      <color theme="4" tint="-0.249977111117893"/>
      <name val="Franklin Gothic Book"/>
      <family val="2"/>
      <scheme val="minor"/>
    </font>
    <font>
      <b/>
      <sz val="11"/>
      <color theme="4" tint="-0.249977111117893"/>
      <name val="Franklin Gothic Book"/>
      <family val="2"/>
      <scheme val="minor"/>
    </font>
    <font>
      <sz val="11"/>
      <color theme="1"/>
      <name val="Franklin Gothic Book"/>
      <family val="2"/>
      <scheme val="minor"/>
    </font>
    <font>
      <sz val="10"/>
      <name val="Franklin Gothic Book"/>
      <family val="2"/>
      <scheme val="minor"/>
    </font>
    <font>
      <sz val="13"/>
      <name val="Franklin Gothic Book"/>
      <family val="2"/>
      <scheme val="minor"/>
    </font>
    <font>
      <sz val="12"/>
      <name val="Franklin Gothic Book"/>
      <family val="2"/>
      <scheme val="minor"/>
    </font>
    <font>
      <b/>
      <sz val="13"/>
      <name val="Franklin Gothic Book"/>
      <family val="2"/>
      <scheme val="minor"/>
    </font>
    <font>
      <b/>
      <sz val="12"/>
      <name val="Franklin Gothic Book"/>
      <family val="2"/>
      <scheme val="minor"/>
    </font>
    <font>
      <sz val="14"/>
      <color theme="1" tint="0.14993743705557422"/>
      <name val="Franklin Gothic Book"/>
      <family val="2"/>
      <scheme val="minor"/>
    </font>
    <font>
      <sz val="10"/>
      <color rgb="FF113459"/>
      <name val="Franklin Gothic Book"/>
      <scheme val="minor"/>
    </font>
    <font>
      <b/>
      <i/>
      <sz val="10"/>
      <color rgb="FF113459"/>
      <name val="Franklin Gothic Book"/>
      <scheme val="minor"/>
    </font>
    <font>
      <b/>
      <sz val="10"/>
      <color rgb="FF113459"/>
      <name val="Franklin Gothic Book"/>
      <scheme val="minor"/>
    </font>
    <font>
      <sz val="12"/>
      <color rgb="FFFF0000"/>
      <name val="Franklin Gothic Book"/>
      <family val="2"/>
      <scheme val="minor"/>
    </font>
    <font>
      <sz val="12"/>
      <color rgb="FF000000"/>
      <name val="Franklin Gothic Book"/>
      <family val="2"/>
      <scheme val="minor"/>
    </font>
    <font>
      <b/>
      <sz val="12"/>
      <color rgb="FF000000"/>
      <name val="Franklin Gothic Book"/>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4" tint="0.39994506668294322"/>
        <bgColor indexed="64"/>
      </patternFill>
    </fill>
    <fill>
      <patternFill patternType="solid">
        <fgColor rgb="FFF8F8F8"/>
        <bgColor indexed="64"/>
      </patternFill>
    </fill>
    <fill>
      <patternFill patternType="solid">
        <fgColor theme="2"/>
        <bgColor indexed="64"/>
      </patternFill>
    </fill>
    <fill>
      <patternFill patternType="solid">
        <fgColor theme="4"/>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70C0"/>
        <bgColor indexed="64"/>
      </patternFill>
    </fill>
    <fill>
      <patternFill patternType="solid">
        <fgColor theme="4" tint="0.59999389629810485"/>
        <bgColor indexed="64"/>
      </patternFill>
    </fill>
    <fill>
      <patternFill patternType="solid">
        <fgColor rgb="FFD9FFCD"/>
        <bgColor indexed="64"/>
      </patternFill>
    </fill>
    <fill>
      <patternFill patternType="solid">
        <fgColor theme="4" tint="-9.9978637043366805E-2"/>
        <bgColor indexed="64"/>
      </patternFill>
    </fill>
  </fills>
  <borders count="45">
    <border>
      <left/>
      <right/>
      <top/>
      <bottom/>
      <diagonal/>
    </border>
    <border>
      <left/>
      <right/>
      <top/>
      <bottom style="medium">
        <color theme="4" tint="0.39994506668294322"/>
      </bottom>
      <diagonal/>
    </border>
    <border>
      <left/>
      <right/>
      <top/>
      <bottom style="medium">
        <color theme="4" tint="0.79998168889431442"/>
      </bottom>
      <diagonal/>
    </border>
    <border>
      <left style="thin">
        <color auto="1"/>
      </left>
      <right/>
      <top/>
      <bottom/>
      <diagonal/>
    </border>
    <border>
      <left/>
      <right/>
      <top style="thick">
        <color theme="0"/>
      </top>
      <bottom/>
      <diagonal/>
    </border>
    <border>
      <left/>
      <right/>
      <top/>
      <bottom style="thick">
        <color theme="0"/>
      </bottom>
      <diagonal/>
    </border>
    <border>
      <left style="thin">
        <color indexed="64"/>
      </left>
      <right/>
      <top/>
      <bottom style="thick">
        <color theme="0"/>
      </bottom>
      <diagonal/>
    </border>
    <border>
      <left/>
      <right style="thin">
        <color indexed="64"/>
      </right>
      <top/>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style="thick">
        <color theme="2"/>
      </top>
      <bottom/>
      <diagonal/>
    </border>
    <border>
      <left/>
      <right/>
      <top style="thick">
        <color theme="2"/>
      </top>
      <bottom/>
      <diagonal/>
    </border>
    <border>
      <left/>
      <right style="thick">
        <color theme="2"/>
      </right>
      <top style="thick">
        <color theme="2"/>
      </top>
      <bottom/>
      <diagonal/>
    </border>
    <border>
      <left style="thick">
        <color theme="4"/>
      </left>
      <right/>
      <top/>
      <bottom/>
      <diagonal/>
    </border>
    <border>
      <left/>
      <right style="thick">
        <color theme="4"/>
      </right>
      <top/>
      <bottom/>
      <diagonal/>
    </border>
    <border>
      <left/>
      <right style="thick">
        <color theme="2"/>
      </right>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right/>
      <top/>
      <bottom style="thick">
        <color theme="2"/>
      </bottom>
      <diagonal/>
    </border>
    <border>
      <left/>
      <right style="thick">
        <color theme="2"/>
      </right>
      <top/>
      <bottom style="thick">
        <color theme="2"/>
      </bottom>
      <diagonal/>
    </border>
    <border>
      <left style="thin">
        <color indexed="64"/>
      </left>
      <right style="thin">
        <color auto="1"/>
      </right>
      <top/>
      <bottom/>
      <diagonal/>
    </border>
    <border>
      <left/>
      <right/>
      <top style="thin">
        <color indexed="64"/>
      </top>
      <bottom/>
      <diagonal/>
    </border>
    <border>
      <left style="thin">
        <color auto="1"/>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ck">
        <color theme="0"/>
      </bottom>
      <diagonal/>
    </border>
    <border>
      <left/>
      <right style="medium">
        <color indexed="64"/>
      </right>
      <top/>
      <bottom style="thick">
        <color theme="0"/>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top/>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right/>
      <top style="medium">
        <color rgb="FF000000"/>
      </top>
      <bottom style="medium">
        <color rgb="FF000000"/>
      </bottom>
      <diagonal/>
    </border>
    <border>
      <left style="thin">
        <color auto="1"/>
      </left>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s>
  <cellStyleXfs count="7">
    <xf numFmtId="0" fontId="0" fillId="0" borderId="0"/>
    <xf numFmtId="0" fontId="5" fillId="0" borderId="0" applyNumberFormat="0" applyFont="0" applyFill="0" applyBorder="0" applyAlignment="0" applyProtection="0"/>
    <xf numFmtId="0" fontId="6" fillId="0" borderId="0" applyNumberFormat="0" applyFill="0" applyBorder="0" applyAlignment="0" applyProtection="0"/>
    <xf numFmtId="0" fontId="4" fillId="3" borderId="1" applyNumberFormat="0" applyProtection="0">
      <alignment vertical="center"/>
    </xf>
    <xf numFmtId="0" fontId="3" fillId="2" borderId="2" applyNumberFormat="0" applyProtection="0">
      <alignment vertical="center"/>
    </xf>
    <xf numFmtId="44" fontId="29" fillId="0" borderId="0" applyFont="0" applyFill="0" applyBorder="0" applyAlignment="0" applyProtection="0"/>
    <xf numFmtId="0" fontId="37" fillId="0" borderId="0" applyNumberFormat="0" applyFill="0" applyBorder="0" applyAlignment="0" applyProtection="0"/>
  </cellStyleXfs>
  <cellXfs count="227">
    <xf numFmtId="0" fontId="0" fillId="0" borderId="0" xfId="0"/>
    <xf numFmtId="0" fontId="1" fillId="0" borderId="0" xfId="0" applyFont="1"/>
    <xf numFmtId="0" fontId="1" fillId="0" borderId="0" xfId="0" applyFont="1" applyAlignment="1">
      <alignment horizontal="left" indent="2"/>
    </xf>
    <xf numFmtId="0" fontId="14" fillId="0" borderId="0" xfId="0" applyFont="1" applyAlignment="1">
      <alignment horizontal="left"/>
    </xf>
    <xf numFmtId="0" fontId="1" fillId="0" borderId="0" xfId="0" applyFont="1" applyAlignment="1">
      <alignment horizontal="center"/>
    </xf>
    <xf numFmtId="0" fontId="27" fillId="4" borderId="0" xfId="0" applyFont="1" applyFill="1" applyAlignment="1">
      <alignment horizontal="left" vertical="center" indent="2"/>
    </xf>
    <xf numFmtId="0" fontId="27" fillId="5" borderId="0" xfId="0" applyFont="1" applyFill="1" applyAlignment="1">
      <alignment horizontal="left" vertical="center" indent="2"/>
    </xf>
    <xf numFmtId="0" fontId="9" fillId="7" borderId="0" xfId="1" applyFont="1" applyFill="1" applyBorder="1" applyAlignment="1">
      <alignment horizontal="left" vertical="center" indent="2"/>
    </xf>
    <xf numFmtId="0" fontId="25" fillId="7" borderId="4" xfId="1" applyFont="1" applyFill="1" applyBorder="1" applyAlignment="1">
      <alignment horizontal="center" vertical="center"/>
    </xf>
    <xf numFmtId="0" fontId="11" fillId="8" borderId="0" xfId="0" applyFont="1" applyFill="1" applyAlignment="1">
      <alignment horizontal="left" vertical="center" indent="2"/>
    </xf>
    <xf numFmtId="0" fontId="10" fillId="8" borderId="0" xfId="0" applyFont="1" applyFill="1" applyAlignment="1">
      <alignment horizontal="center" vertical="center"/>
    </xf>
    <xf numFmtId="0" fontId="15" fillId="0" borderId="0" xfId="0" applyFont="1" applyAlignment="1">
      <alignment horizontal="left" vertical="center" indent="2"/>
    </xf>
    <xf numFmtId="0" fontId="2" fillId="0" borderId="0" xfId="0" applyFont="1"/>
    <xf numFmtId="0" fontId="17" fillId="0" borderId="0" xfId="0" applyFont="1"/>
    <xf numFmtId="0" fontId="2" fillId="0" borderId="0" xfId="0" applyFont="1" applyAlignment="1">
      <alignment horizontal="center"/>
    </xf>
    <xf numFmtId="3" fontId="32" fillId="0" borderId="0" xfId="0" applyNumberFormat="1" applyFont="1" applyAlignment="1">
      <alignment horizontal="left" vertical="top" wrapText="1"/>
    </xf>
    <xf numFmtId="0" fontId="0" fillId="0" borderId="0" xfId="0" applyAlignment="1">
      <alignment horizontal="left" vertical="top" wrapText="1"/>
    </xf>
    <xf numFmtId="0" fontId="33" fillId="5" borderId="0" xfId="0" applyFont="1" applyFill="1" applyAlignment="1">
      <alignment horizontal="left" vertical="top" wrapText="1"/>
    </xf>
    <xf numFmtId="0" fontId="2" fillId="0" borderId="0" xfId="0" applyFont="1" applyAlignment="1">
      <alignment horizontal="center" wrapText="1"/>
    </xf>
    <xf numFmtId="44" fontId="15" fillId="0" borderId="0" xfId="5" applyFont="1" applyFill="1" applyAlignment="1">
      <alignment horizontal="center" vertical="center"/>
    </xf>
    <xf numFmtId="0" fontId="25" fillId="7" borderId="4" xfId="1" applyFont="1" applyFill="1" applyBorder="1" applyAlignment="1">
      <alignment horizontal="center" vertical="center" wrapText="1"/>
    </xf>
    <xf numFmtId="0" fontId="10" fillId="8" borderId="0" xfId="0" applyFont="1" applyFill="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vertical="center" wrapText="1"/>
    </xf>
    <xf numFmtId="0" fontId="28" fillId="5" borderId="0" xfId="0" applyFont="1" applyFill="1" applyAlignment="1">
      <alignment horizontal="left" vertical="top" wrapText="1"/>
    </xf>
    <xf numFmtId="44" fontId="25" fillId="7" borderId="4" xfId="5" applyFont="1" applyFill="1" applyBorder="1" applyAlignment="1">
      <alignment horizontal="center" vertical="center"/>
    </xf>
    <xf numFmtId="44" fontId="10" fillId="8" borderId="3" xfId="5" applyFont="1" applyFill="1" applyBorder="1" applyAlignment="1">
      <alignment horizontal="center" vertical="center"/>
    </xf>
    <xf numFmtId="44" fontId="10" fillId="8" borderId="0" xfId="5" applyFont="1" applyFill="1" applyAlignment="1">
      <alignment horizontal="center" vertical="center"/>
    </xf>
    <xf numFmtId="44" fontId="15" fillId="0" borderId="3" xfId="5" applyFont="1" applyFill="1" applyBorder="1" applyAlignment="1">
      <alignment horizontal="center" vertical="center"/>
    </xf>
    <xf numFmtId="44" fontId="0" fillId="0" borderId="3" xfId="5" applyFont="1" applyFill="1" applyBorder="1"/>
    <xf numFmtId="44" fontId="0" fillId="0" borderId="0" xfId="5" applyFont="1" applyFill="1"/>
    <xf numFmtId="44" fontId="1" fillId="0" borderId="0" xfId="5" applyFont="1" applyAlignment="1">
      <alignment horizontal="center"/>
    </xf>
    <xf numFmtId="44" fontId="9" fillId="7" borderId="0" xfId="5" applyFont="1" applyFill="1" applyBorder="1" applyAlignment="1">
      <alignment horizontal="center" vertical="center"/>
    </xf>
    <xf numFmtId="44" fontId="13" fillId="8" borderId="3" xfId="5" applyFont="1" applyFill="1" applyBorder="1" applyAlignment="1">
      <alignment horizontal="center" vertical="center"/>
    </xf>
    <xf numFmtId="44" fontId="20" fillId="5" borderId="3" xfId="5" applyFont="1" applyFill="1" applyBorder="1" applyAlignment="1">
      <alignment horizontal="center"/>
    </xf>
    <xf numFmtId="44" fontId="12" fillId="8" borderId="0" xfId="5" applyFont="1" applyFill="1" applyBorder="1" applyAlignment="1">
      <alignment horizontal="center" vertical="center"/>
    </xf>
    <xf numFmtId="4" fontId="33" fillId="4" borderId="0" xfId="0" applyNumberFormat="1" applyFont="1" applyFill="1" applyAlignment="1">
      <alignment horizontal="left" vertical="top" wrapText="1"/>
    </xf>
    <xf numFmtId="44" fontId="18" fillId="4" borderId="3" xfId="5" applyFont="1" applyFill="1" applyBorder="1" applyAlignment="1">
      <alignment horizontal="center" vertical="center"/>
    </xf>
    <xf numFmtId="0" fontId="2" fillId="4" borderId="0" xfId="0" applyFont="1" applyFill="1"/>
    <xf numFmtId="44" fontId="15" fillId="5" borderId="0" xfId="5" applyFont="1" applyFill="1" applyAlignment="1">
      <alignment horizontal="center" vertical="center"/>
    </xf>
    <xf numFmtId="0" fontId="21" fillId="5" borderId="0" xfId="0" applyFont="1" applyFill="1"/>
    <xf numFmtId="0" fontId="2" fillId="5" borderId="0" xfId="0" applyFont="1" applyFill="1"/>
    <xf numFmtId="0" fontId="24" fillId="5" borderId="5" xfId="0" applyFont="1" applyFill="1" applyBorder="1" applyAlignment="1">
      <alignment horizontal="left" vertical="center" indent="2"/>
    </xf>
    <xf numFmtId="6" fontId="22" fillId="5" borderId="5" xfId="5" applyNumberFormat="1" applyFont="1" applyFill="1" applyBorder="1" applyAlignment="1">
      <alignment horizontal="center" vertical="center"/>
    </xf>
    <xf numFmtId="44" fontId="22" fillId="5" borderId="5" xfId="5" applyFont="1" applyFill="1" applyBorder="1" applyAlignment="1">
      <alignment horizontal="center" vertical="center"/>
    </xf>
    <xf numFmtId="4" fontId="36" fillId="5" borderId="5" xfId="0" applyNumberFormat="1" applyFont="1" applyFill="1" applyBorder="1" applyAlignment="1">
      <alignment horizontal="left" vertical="top" wrapText="1"/>
    </xf>
    <xf numFmtId="44" fontId="22" fillId="5" borderId="3" xfId="5" applyFont="1" applyFill="1" applyBorder="1" applyAlignment="1">
      <alignment horizontal="center" vertical="center"/>
    </xf>
    <xf numFmtId="44" fontId="22" fillId="4" borderId="3" xfId="5" applyFont="1" applyFill="1" applyBorder="1" applyAlignment="1">
      <alignment horizontal="center" vertical="center"/>
    </xf>
    <xf numFmtId="0" fontId="1" fillId="4" borderId="0" xfId="0" applyFont="1" applyFill="1"/>
    <xf numFmtId="44" fontId="10" fillId="8" borderId="7" xfId="5" applyFont="1" applyFill="1" applyBorder="1" applyAlignment="1">
      <alignment horizontal="center" vertical="center"/>
    </xf>
    <xf numFmtId="44" fontId="0" fillId="0" borderId="7" xfId="5" applyFont="1" applyFill="1" applyBorder="1"/>
    <xf numFmtId="44" fontId="28" fillId="5" borderId="7" xfId="5" applyFont="1" applyFill="1" applyBorder="1" applyAlignment="1">
      <alignment horizontal="center" vertical="center"/>
    </xf>
    <xf numFmtId="44" fontId="28" fillId="4" borderId="7" xfId="5" applyFont="1" applyFill="1" applyBorder="1" applyAlignment="1">
      <alignment horizontal="center" vertical="center"/>
    </xf>
    <xf numFmtId="44" fontId="15" fillId="9" borderId="7" xfId="5" applyFont="1" applyFill="1" applyBorder="1" applyAlignment="1">
      <alignment horizontal="center" vertical="center"/>
    </xf>
    <xf numFmtId="44" fontId="15" fillId="9" borderId="0" xfId="5" applyFont="1" applyFill="1" applyAlignment="1">
      <alignment horizontal="center" vertical="center"/>
    </xf>
    <xf numFmtId="44" fontId="15" fillId="0" borderId="0" xfId="5" applyFont="1" applyFill="1" applyAlignment="1">
      <alignment horizontal="left" vertical="top" wrapText="1"/>
    </xf>
    <xf numFmtId="0" fontId="0" fillId="10" borderId="0" xfId="0" applyFill="1" applyAlignment="1">
      <alignment vertical="center" wrapText="1"/>
    </xf>
    <xf numFmtId="0" fontId="0" fillId="0" borderId="0" xfId="0" applyAlignment="1">
      <alignment vertical="center" wrapText="1"/>
    </xf>
    <xf numFmtId="0" fontId="31" fillId="10" borderId="18" xfId="0" applyFont="1" applyFill="1" applyBorder="1" applyAlignment="1">
      <alignment horizontal="left" wrapText="1"/>
    </xf>
    <xf numFmtId="14" fontId="31" fillId="10" borderId="18" xfId="0" applyNumberFormat="1" applyFont="1" applyFill="1" applyBorder="1" applyAlignment="1">
      <alignment horizontal="left" vertical="center" wrapText="1"/>
    </xf>
    <xf numFmtId="0" fontId="7" fillId="10" borderId="21" xfId="0" applyFont="1" applyFill="1" applyBorder="1" applyAlignment="1">
      <alignment horizontal="left" vertical="top" wrapText="1"/>
    </xf>
    <xf numFmtId="0" fontId="39" fillId="6" borderId="0" xfId="0" applyFont="1" applyFill="1" applyAlignment="1">
      <alignment horizontal="left" vertical="top" wrapText="1"/>
    </xf>
    <xf numFmtId="0" fontId="39" fillId="6" borderId="0" xfId="0" applyFont="1" applyFill="1" applyAlignment="1">
      <alignment vertical="top" wrapText="1"/>
    </xf>
    <xf numFmtId="0" fontId="40" fillId="0" borderId="0" xfId="0" applyFont="1" applyAlignment="1">
      <alignment horizontal="center" vertical="top" wrapText="1"/>
    </xf>
    <xf numFmtId="0" fontId="0" fillId="0" borderId="0" xfId="0" applyAlignment="1">
      <alignment vertical="top" wrapText="1"/>
    </xf>
    <xf numFmtId="0" fontId="37" fillId="0" borderId="0" xfId="6" applyAlignment="1">
      <alignment vertical="top" wrapText="1"/>
    </xf>
    <xf numFmtId="0" fontId="23" fillId="0" borderId="0" xfId="0" applyFont="1" applyAlignment="1">
      <alignment vertical="top" wrapText="1"/>
    </xf>
    <xf numFmtId="0" fontId="0" fillId="2" borderId="0" xfId="0" applyFill="1" applyAlignment="1">
      <alignment horizontal="left" vertical="top" wrapText="1"/>
    </xf>
    <xf numFmtId="0" fontId="0" fillId="2" borderId="0" xfId="0" applyFill="1" applyAlignment="1">
      <alignment vertical="top" wrapText="1"/>
    </xf>
    <xf numFmtId="0" fontId="0" fillId="11" borderId="0" xfId="0" applyFill="1" applyAlignment="1">
      <alignment horizontal="left" vertical="top" wrapText="1"/>
    </xf>
    <xf numFmtId="0" fontId="0" fillId="11" borderId="0" xfId="0" applyFill="1" applyAlignment="1">
      <alignment vertical="top" wrapText="1"/>
    </xf>
    <xf numFmtId="0" fontId="43" fillId="11" borderId="0" xfId="0" applyFont="1" applyFill="1" applyAlignment="1">
      <alignment vertical="top" wrapText="1"/>
    </xf>
    <xf numFmtId="0" fontId="37" fillId="11" borderId="0" xfId="6" applyFill="1" applyAlignment="1">
      <alignment vertical="top" wrapText="1"/>
    </xf>
    <xf numFmtId="0" fontId="9" fillId="7" borderId="0" xfId="1" applyFont="1" applyFill="1" applyBorder="1" applyAlignment="1">
      <alignment horizontal="center" vertical="center" wrapText="1"/>
    </xf>
    <xf numFmtId="0" fontId="12" fillId="8" borderId="0" xfId="1" applyFont="1" applyFill="1" applyBorder="1" applyAlignment="1">
      <alignment horizontal="center" vertical="center" wrapText="1"/>
    </xf>
    <xf numFmtId="3" fontId="17" fillId="0" borderId="0" xfId="0" applyNumberFormat="1" applyFont="1" applyAlignment="1">
      <alignment horizontal="left" vertical="top" wrapText="1"/>
    </xf>
    <xf numFmtId="0" fontId="20" fillId="5" borderId="0" xfId="0" applyFont="1" applyFill="1" applyAlignment="1">
      <alignment horizontal="left" vertical="top" wrapText="1"/>
    </xf>
    <xf numFmtId="4" fontId="20" fillId="4" borderId="0" xfId="0" applyNumberFormat="1" applyFont="1" applyFill="1" applyAlignment="1">
      <alignment horizontal="left" vertical="top" wrapText="1"/>
    </xf>
    <xf numFmtId="0" fontId="45" fillId="12" borderId="0" xfId="0" applyFont="1" applyFill="1" applyAlignment="1">
      <alignment horizontal="left" vertical="center" indent="2"/>
    </xf>
    <xf numFmtId="44" fontId="46" fillId="12" borderId="0" xfId="5" applyFont="1" applyFill="1" applyAlignment="1">
      <alignment horizontal="center" vertical="center"/>
    </xf>
    <xf numFmtId="4" fontId="44" fillId="12" borderId="0" xfId="0" applyNumberFormat="1" applyFont="1" applyFill="1" applyAlignment="1">
      <alignment horizontal="left" vertical="top" wrapText="1"/>
    </xf>
    <xf numFmtId="44" fontId="46" fillId="12" borderId="3" xfId="5" applyFont="1" applyFill="1" applyBorder="1" applyAlignment="1">
      <alignment horizontal="center" vertical="center"/>
    </xf>
    <xf numFmtId="4" fontId="46" fillId="12" borderId="0" xfId="0" applyNumberFormat="1" applyFont="1" applyFill="1" applyAlignment="1">
      <alignment horizontal="left" vertical="top" wrapText="1"/>
    </xf>
    <xf numFmtId="44" fontId="46" fillId="12" borderId="7" xfId="5" applyFont="1" applyFill="1" applyBorder="1" applyAlignment="1">
      <alignment horizontal="center" vertical="center"/>
    </xf>
    <xf numFmtId="4" fontId="46" fillId="12" borderId="0" xfId="0" applyNumberFormat="1" applyFont="1" applyFill="1" applyAlignment="1">
      <alignment horizontal="center" vertical="center"/>
    </xf>
    <xf numFmtId="44" fontId="47" fillId="12" borderId="0" xfId="5" applyFont="1" applyFill="1" applyAlignment="1">
      <alignment horizontal="center" vertical="center"/>
    </xf>
    <xf numFmtId="44" fontId="48" fillId="12" borderId="3" xfId="5" applyFont="1" applyFill="1" applyBorder="1" applyAlignment="1">
      <alignment horizontal="center" vertical="center"/>
    </xf>
    <xf numFmtId="0" fontId="44" fillId="12" borderId="0" xfId="0" applyFont="1" applyFill="1"/>
    <xf numFmtId="44" fontId="46" fillId="12" borderId="0" xfId="5" applyFont="1" applyFill="1" applyBorder="1" applyAlignment="1">
      <alignment horizontal="center" vertical="center"/>
    </xf>
    <xf numFmtId="0" fontId="45" fillId="12" borderId="5" xfId="0" applyFont="1" applyFill="1" applyBorder="1" applyAlignment="1">
      <alignment horizontal="left" vertical="center" indent="2"/>
    </xf>
    <xf numFmtId="6" fontId="46" fillId="12" borderId="5" xfId="5" applyNumberFormat="1" applyFont="1" applyFill="1" applyBorder="1" applyAlignment="1">
      <alignment horizontal="center" vertical="center"/>
    </xf>
    <xf numFmtId="4" fontId="44" fillId="12" borderId="5" xfId="0" applyNumberFormat="1" applyFont="1" applyFill="1" applyBorder="1" applyAlignment="1">
      <alignment horizontal="left" vertical="top" wrapText="1"/>
    </xf>
    <xf numFmtId="44" fontId="46" fillId="12" borderId="6" xfId="5" applyFont="1" applyFill="1" applyBorder="1" applyAlignment="1">
      <alignment horizontal="center" vertical="center"/>
    </xf>
    <xf numFmtId="4" fontId="46" fillId="12" borderId="5" xfId="0" applyNumberFormat="1" applyFont="1" applyFill="1" applyBorder="1" applyAlignment="1">
      <alignment horizontal="center" vertical="center"/>
    </xf>
    <xf numFmtId="44" fontId="28" fillId="5" borderId="7" xfId="5" applyFont="1" applyFill="1" applyBorder="1" applyAlignment="1">
      <alignment horizontal="center" vertical="center" wrapText="1"/>
    </xf>
    <xf numFmtId="0" fontId="1" fillId="0" borderId="3" xfId="0" applyFont="1" applyBorder="1"/>
    <xf numFmtId="0" fontId="14" fillId="0" borderId="3" xfId="0" applyFont="1" applyBorder="1" applyAlignment="1">
      <alignment horizontal="left"/>
    </xf>
    <xf numFmtId="0" fontId="2" fillId="0" borderId="3" xfId="0" applyFont="1" applyBorder="1" applyAlignment="1">
      <alignment horizontal="right" vertical="center"/>
    </xf>
    <xf numFmtId="0" fontId="17" fillId="0" borderId="3" xfId="0" applyFont="1" applyBorder="1"/>
    <xf numFmtId="0" fontId="21" fillId="5" borderId="3" xfId="0" applyFont="1" applyFill="1" applyBorder="1"/>
    <xf numFmtId="0" fontId="2" fillId="4" borderId="3" xfId="0" applyFont="1" applyFill="1" applyBorder="1"/>
    <xf numFmtId="0" fontId="44" fillId="12" borderId="3" xfId="0" applyFont="1" applyFill="1" applyBorder="1"/>
    <xf numFmtId="0" fontId="2" fillId="5" borderId="3" xfId="0" applyFont="1" applyFill="1" applyBorder="1"/>
    <xf numFmtId="0" fontId="1" fillId="4" borderId="3" xfId="0" applyFont="1" applyFill="1" applyBorder="1"/>
    <xf numFmtId="44" fontId="17" fillId="0" borderId="24" xfId="5" applyFont="1" applyFill="1" applyBorder="1" applyAlignment="1">
      <alignment horizontal="center"/>
    </xf>
    <xf numFmtId="0" fontId="24" fillId="4" borderId="0" xfId="0" applyFont="1" applyFill="1" applyAlignment="1">
      <alignment horizontal="left" vertical="center" indent="2"/>
    </xf>
    <xf numFmtId="6" fontId="22" fillId="4" borderId="0" xfId="5" applyNumberFormat="1" applyFont="1" applyFill="1" applyBorder="1" applyAlignment="1">
      <alignment horizontal="center" vertical="center"/>
    </xf>
    <xf numFmtId="4" fontId="36" fillId="4" borderId="0" xfId="0" applyNumberFormat="1" applyFont="1" applyFill="1" applyAlignment="1">
      <alignment horizontal="left" vertical="top" wrapText="1"/>
    </xf>
    <xf numFmtId="0" fontId="1" fillId="0" borderId="25" xfId="0" applyFont="1" applyBorder="1" applyAlignment="1">
      <alignment horizontal="left" indent="2"/>
    </xf>
    <xf numFmtId="0" fontId="1" fillId="0" borderId="25" xfId="0" applyFont="1" applyBorder="1" applyAlignment="1">
      <alignment horizontal="center"/>
    </xf>
    <xf numFmtId="0" fontId="2" fillId="0" borderId="25" xfId="0" applyFont="1" applyBorder="1" applyAlignment="1">
      <alignment horizontal="left" vertical="top" wrapText="1"/>
    </xf>
    <xf numFmtId="44" fontId="1" fillId="0" borderId="25" xfId="5" applyFont="1" applyBorder="1" applyAlignment="1">
      <alignment horizontal="center"/>
    </xf>
    <xf numFmtId="0" fontId="1" fillId="0" borderId="25" xfId="0" applyFont="1" applyBorder="1" applyAlignment="1">
      <alignment horizontal="center" vertical="center" wrapText="1"/>
    </xf>
    <xf numFmtId="0" fontId="1" fillId="0" borderId="25" xfId="0" applyFont="1" applyBorder="1" applyAlignment="1">
      <alignment horizontal="center" wrapText="1"/>
    </xf>
    <xf numFmtId="0" fontId="1" fillId="0" borderId="26" xfId="0" applyFont="1" applyBorder="1"/>
    <xf numFmtId="0" fontId="1" fillId="0" borderId="25" xfId="0" applyFont="1" applyBorder="1"/>
    <xf numFmtId="0" fontId="7" fillId="0" borderId="7" xfId="0" applyFont="1" applyBorder="1" applyAlignment="1">
      <alignment wrapText="1"/>
    </xf>
    <xf numFmtId="0" fontId="4" fillId="0" borderId="7" xfId="0" applyFont="1" applyBorder="1" applyAlignment="1">
      <alignment horizontal="left" vertical="center" wrapText="1"/>
    </xf>
    <xf numFmtId="0" fontId="7" fillId="0" borderId="7" xfId="0" applyFont="1" applyBorder="1" applyAlignment="1">
      <alignment vertical="center" wrapText="1"/>
    </xf>
    <xf numFmtId="0" fontId="19" fillId="5" borderId="7" xfId="0" applyFont="1" applyFill="1" applyBorder="1" applyAlignment="1">
      <alignment wrapText="1"/>
    </xf>
    <xf numFmtId="0" fontId="8" fillId="4" borderId="7" xfId="0" applyFont="1" applyFill="1" applyBorder="1" applyAlignment="1">
      <alignment wrapText="1"/>
    </xf>
    <xf numFmtId="0" fontId="44" fillId="12" borderId="7" xfId="0" applyFont="1" applyFill="1" applyBorder="1" applyAlignment="1">
      <alignment wrapText="1"/>
    </xf>
    <xf numFmtId="0" fontId="8" fillId="5" borderId="7" xfId="0" applyFont="1" applyFill="1" applyBorder="1" applyAlignment="1">
      <alignment wrapText="1"/>
    </xf>
    <xf numFmtId="0" fontId="7" fillId="4" borderId="7" xfId="0" applyFont="1" applyFill="1" applyBorder="1" applyAlignment="1">
      <alignment wrapText="1"/>
    </xf>
    <xf numFmtId="0" fontId="7" fillId="0" borderId="27" xfId="0" applyFont="1" applyBorder="1" applyAlignment="1">
      <alignment wrapText="1"/>
    </xf>
    <xf numFmtId="164" fontId="22" fillId="5" borderId="6" xfId="5" applyNumberFormat="1" applyFont="1" applyFill="1" applyBorder="1" applyAlignment="1">
      <alignment horizontal="center" vertical="center"/>
    </xf>
    <xf numFmtId="164" fontId="22" fillId="5" borderId="5" xfId="5" applyNumberFormat="1" applyFont="1" applyFill="1" applyBorder="1" applyAlignment="1">
      <alignment horizontal="center" vertical="center"/>
    </xf>
    <xf numFmtId="164" fontId="22" fillId="4" borderId="3" xfId="5" applyNumberFormat="1" applyFont="1" applyFill="1" applyBorder="1" applyAlignment="1">
      <alignment horizontal="center" vertical="center"/>
    </xf>
    <xf numFmtId="164" fontId="22" fillId="4" borderId="0" xfId="5" applyNumberFormat="1" applyFont="1" applyFill="1" applyBorder="1" applyAlignment="1">
      <alignment horizontal="center" vertical="center"/>
    </xf>
    <xf numFmtId="164" fontId="28" fillId="5" borderId="0" xfId="5" applyNumberFormat="1" applyFont="1" applyFill="1" applyAlignment="1">
      <alignment horizontal="center" vertical="center"/>
    </xf>
    <xf numFmtId="164" fontId="28" fillId="4" borderId="0" xfId="5" applyNumberFormat="1" applyFont="1" applyFill="1" applyAlignment="1">
      <alignment horizontal="center" vertical="center"/>
    </xf>
    <xf numFmtId="164" fontId="15" fillId="0" borderId="0" xfId="5" applyNumberFormat="1" applyFont="1" applyFill="1" applyAlignment="1">
      <alignment horizontal="center" vertical="center"/>
    </xf>
    <xf numFmtId="164" fontId="15" fillId="0" borderId="0" xfId="5" applyNumberFormat="1" applyFont="1" applyFill="1" applyBorder="1" applyAlignment="1">
      <alignment horizontal="center" vertical="center"/>
    </xf>
    <xf numFmtId="164" fontId="16" fillId="0" borderId="0" xfId="5" applyNumberFormat="1" applyFont="1" applyFill="1" applyAlignment="1">
      <alignment horizontal="center" vertical="center"/>
    </xf>
    <xf numFmtId="0" fontId="10" fillId="8" borderId="28" xfId="0" applyFont="1" applyFill="1" applyBorder="1" applyAlignment="1">
      <alignment horizontal="center" vertical="center"/>
    </xf>
    <xf numFmtId="0" fontId="10" fillId="8" borderId="29" xfId="0" applyFont="1" applyFill="1" applyBorder="1" applyAlignment="1">
      <alignment horizontal="center" vertical="center"/>
    </xf>
    <xf numFmtId="44" fontId="16" fillId="0" borderId="30" xfId="5" applyFont="1" applyFill="1" applyBorder="1" applyAlignment="1">
      <alignment horizontal="center" vertical="center"/>
    </xf>
    <xf numFmtId="44" fontId="16" fillId="0" borderId="31" xfId="5" applyFont="1" applyFill="1" applyBorder="1" applyAlignment="1">
      <alignment horizontal="center" vertical="center"/>
    </xf>
    <xf numFmtId="0" fontId="0" fillId="0" borderId="30" xfId="0" applyBorder="1"/>
    <xf numFmtId="0" fontId="0" fillId="0" borderId="31" xfId="0" applyBorder="1"/>
    <xf numFmtId="44" fontId="28" fillId="5" borderId="30" xfId="5" applyFont="1" applyFill="1" applyBorder="1" applyAlignment="1">
      <alignment horizontal="center" vertical="center"/>
    </xf>
    <xf numFmtId="44" fontId="28" fillId="5" borderId="31" xfId="5" applyFont="1" applyFill="1" applyBorder="1" applyAlignment="1">
      <alignment horizontal="center" vertical="center"/>
    </xf>
    <xf numFmtId="6" fontId="28" fillId="4" borderId="30" xfId="5" applyNumberFormat="1" applyFont="1" applyFill="1" applyBorder="1" applyAlignment="1">
      <alignment horizontal="center" vertical="center"/>
    </xf>
    <xf numFmtId="44" fontId="28" fillId="4" borderId="31" xfId="5" applyFont="1" applyFill="1" applyBorder="1" applyAlignment="1">
      <alignment horizontal="center" vertical="center"/>
    </xf>
    <xf numFmtId="6" fontId="46" fillId="12" borderId="30" xfId="5" applyNumberFormat="1" applyFont="1" applyFill="1" applyBorder="1" applyAlignment="1">
      <alignment horizontal="center" vertical="center"/>
    </xf>
    <xf numFmtId="44" fontId="46" fillId="12" borderId="31" xfId="5" applyFont="1" applyFill="1" applyBorder="1" applyAlignment="1">
      <alignment horizontal="center" vertical="center"/>
    </xf>
    <xf numFmtId="6" fontId="46" fillId="12" borderId="32" xfId="5" applyNumberFormat="1" applyFont="1" applyFill="1" applyBorder="1" applyAlignment="1">
      <alignment horizontal="center" vertical="center"/>
    </xf>
    <xf numFmtId="44" fontId="46" fillId="12" borderId="33" xfId="5" applyFont="1" applyFill="1" applyBorder="1" applyAlignment="1">
      <alignment horizontal="center" vertical="center"/>
    </xf>
    <xf numFmtId="6" fontId="22" fillId="5" borderId="32" xfId="5" applyNumberFormat="1" applyFont="1" applyFill="1" applyBorder="1" applyAlignment="1">
      <alignment horizontal="center" vertical="center"/>
    </xf>
    <xf numFmtId="44" fontId="22" fillId="5" borderId="33" xfId="5" applyFont="1" applyFill="1" applyBorder="1" applyAlignment="1">
      <alignment horizontal="center" vertical="center"/>
    </xf>
    <xf numFmtId="6" fontId="22" fillId="4" borderId="34" xfId="5" applyNumberFormat="1" applyFont="1" applyFill="1" applyBorder="1" applyAlignment="1">
      <alignment horizontal="center" vertical="center"/>
    </xf>
    <xf numFmtId="44" fontId="22" fillId="4" borderId="35" xfId="5" applyFont="1" applyFill="1" applyBorder="1" applyAlignment="1">
      <alignment horizontal="center" vertical="center"/>
    </xf>
    <xf numFmtId="44" fontId="1" fillId="0" borderId="0" xfId="5" applyFont="1" applyBorder="1" applyAlignment="1">
      <alignment horizontal="center"/>
    </xf>
    <xf numFmtId="44" fontId="10" fillId="8" borderId="0" xfId="5" applyFont="1" applyFill="1" applyBorder="1" applyAlignment="1">
      <alignment horizontal="center" vertical="center"/>
    </xf>
    <xf numFmtId="44" fontId="0" fillId="0" borderId="0" xfId="5" applyFont="1" applyFill="1" applyBorder="1"/>
    <xf numFmtId="164" fontId="22" fillId="5" borderId="0" xfId="5" applyNumberFormat="1" applyFont="1" applyFill="1" applyBorder="1" applyAlignment="1">
      <alignment horizontal="center" vertical="center"/>
    </xf>
    <xf numFmtId="164" fontId="28" fillId="5" borderId="3" xfId="5" applyNumberFormat="1" applyFont="1" applyFill="1" applyBorder="1" applyAlignment="1">
      <alignment horizontal="center" vertical="center"/>
    </xf>
    <xf numFmtId="164" fontId="28" fillId="4" borderId="3" xfId="5" applyNumberFormat="1" applyFont="1" applyFill="1" applyBorder="1" applyAlignment="1">
      <alignment horizontal="center" vertical="center"/>
    </xf>
    <xf numFmtId="164" fontId="28" fillId="4" borderId="0" xfId="5" applyNumberFormat="1" applyFont="1" applyFill="1" applyBorder="1" applyAlignment="1">
      <alignment horizontal="center" vertical="center"/>
    </xf>
    <xf numFmtId="164" fontId="46" fillId="12" borderId="0" xfId="5" applyNumberFormat="1" applyFont="1" applyFill="1" applyAlignment="1">
      <alignment horizontal="center" vertical="center"/>
    </xf>
    <xf numFmtId="0" fontId="19" fillId="13" borderId="7" xfId="0" applyFont="1" applyFill="1" applyBorder="1" applyAlignment="1">
      <alignment wrapText="1"/>
    </xf>
    <xf numFmtId="0" fontId="27" fillId="13" borderId="0" xfId="0" applyFont="1" applyFill="1" applyAlignment="1">
      <alignment horizontal="left" vertical="center" indent="2"/>
    </xf>
    <xf numFmtId="44" fontId="28" fillId="13" borderId="30" xfId="5" applyFont="1" applyFill="1" applyBorder="1" applyAlignment="1">
      <alignment horizontal="center" vertical="center"/>
    </xf>
    <xf numFmtId="44" fontId="28" fillId="13" borderId="31" xfId="5" applyFont="1" applyFill="1" applyBorder="1" applyAlignment="1">
      <alignment horizontal="center" vertical="center"/>
    </xf>
    <xf numFmtId="164" fontId="28" fillId="13" borderId="0" xfId="5" applyNumberFormat="1" applyFont="1" applyFill="1" applyAlignment="1">
      <alignment horizontal="center" vertical="center"/>
    </xf>
    <xf numFmtId="0" fontId="33" fillId="13" borderId="0" xfId="0" applyFont="1" applyFill="1" applyAlignment="1">
      <alignment horizontal="left" vertical="top" wrapText="1"/>
    </xf>
    <xf numFmtId="164" fontId="28" fillId="13" borderId="3" xfId="5" applyNumberFormat="1" applyFont="1" applyFill="1" applyBorder="1" applyAlignment="1">
      <alignment horizontal="center" vertical="center"/>
    </xf>
    <xf numFmtId="164" fontId="28" fillId="13" borderId="0" xfId="5" applyNumberFormat="1" applyFont="1" applyFill="1" applyBorder="1" applyAlignment="1">
      <alignment horizontal="center" vertical="center"/>
    </xf>
    <xf numFmtId="0" fontId="28" fillId="13" borderId="0" xfId="0" applyFont="1" applyFill="1" applyAlignment="1">
      <alignment horizontal="left" vertical="top" wrapText="1"/>
    </xf>
    <xf numFmtId="44" fontId="28" fillId="13" borderId="7" xfId="5" applyFont="1" applyFill="1" applyBorder="1" applyAlignment="1">
      <alignment horizontal="center" vertical="center" wrapText="1"/>
    </xf>
    <xf numFmtId="0" fontId="20" fillId="13" borderId="0" xfId="0" applyFont="1" applyFill="1" applyAlignment="1">
      <alignment horizontal="left" vertical="top" wrapText="1"/>
    </xf>
    <xf numFmtId="44" fontId="15" fillId="13" borderId="0" xfId="5" applyFont="1" applyFill="1" applyAlignment="1">
      <alignment horizontal="center" vertical="center"/>
    </xf>
    <xf numFmtId="44" fontId="20" fillId="13" borderId="3" xfId="5" applyFont="1" applyFill="1" applyBorder="1" applyAlignment="1">
      <alignment horizontal="center"/>
    </xf>
    <xf numFmtId="0" fontId="21" fillId="13" borderId="3" xfId="0" applyFont="1" applyFill="1" applyBorder="1"/>
    <xf numFmtId="0" fontId="21" fillId="13" borderId="0" xfId="0" applyFont="1" applyFill="1"/>
    <xf numFmtId="164" fontId="15" fillId="4" borderId="0" xfId="5" applyNumberFormat="1" applyFont="1" applyFill="1" applyAlignment="1">
      <alignment horizontal="center" vertical="center"/>
    </xf>
    <xf numFmtId="4" fontId="28" fillId="4" borderId="0" xfId="0" applyNumberFormat="1" applyFont="1" applyFill="1" applyAlignment="1">
      <alignment horizontal="center" vertical="center" wrapText="1"/>
    </xf>
    <xf numFmtId="4" fontId="46" fillId="12" borderId="5" xfId="0" applyNumberFormat="1" applyFont="1" applyFill="1" applyBorder="1" applyAlignment="1">
      <alignment horizontal="center" vertical="center" wrapText="1"/>
    </xf>
    <xf numFmtId="4" fontId="22" fillId="5" borderId="5" xfId="0" applyNumberFormat="1" applyFont="1" applyFill="1" applyBorder="1" applyAlignment="1">
      <alignment horizontal="center" vertical="center" wrapText="1"/>
    </xf>
    <xf numFmtId="164" fontId="47" fillId="12" borderId="0" xfId="5" applyNumberFormat="1" applyFont="1" applyFill="1" applyAlignment="1">
      <alignment horizontal="center" vertical="center"/>
    </xf>
    <xf numFmtId="4" fontId="22" fillId="4" borderId="0" xfId="0" applyNumberFormat="1" applyFont="1" applyFill="1" applyAlignment="1">
      <alignment horizontal="center" vertical="center" wrapText="1"/>
    </xf>
    <xf numFmtId="164" fontId="22" fillId="4" borderId="0" xfId="0" applyNumberFormat="1" applyFont="1" applyFill="1" applyAlignment="1">
      <alignment horizontal="center" vertical="center"/>
    </xf>
    <xf numFmtId="164" fontId="22" fillId="4" borderId="0" xfId="0" applyNumberFormat="1" applyFont="1" applyFill="1" applyAlignment="1">
      <alignment horizontal="center" vertical="center" wrapText="1"/>
    </xf>
    <xf numFmtId="4" fontId="20" fillId="4" borderId="0" xfId="0" applyNumberFormat="1" applyFont="1" applyFill="1" applyAlignment="1">
      <alignment horizontal="center" vertical="center" wrapText="1"/>
    </xf>
    <xf numFmtId="164" fontId="28" fillId="4" borderId="7" xfId="5" applyNumberFormat="1" applyFont="1" applyFill="1" applyBorder="1" applyAlignment="1">
      <alignment horizontal="center" vertical="center"/>
    </xf>
    <xf numFmtId="164" fontId="28" fillId="5" borderId="7" xfId="5" applyNumberFormat="1" applyFont="1" applyFill="1" applyBorder="1" applyAlignment="1">
      <alignment horizontal="center" vertical="center"/>
    </xf>
    <xf numFmtId="44" fontId="46" fillId="12" borderId="5" xfId="5" applyFont="1" applyFill="1" applyBorder="1" applyAlignment="1">
      <alignment horizontal="center" vertical="center"/>
    </xf>
    <xf numFmtId="44" fontId="46" fillId="12" borderId="36" xfId="5" applyFont="1" applyFill="1" applyBorder="1" applyAlignment="1">
      <alignment horizontal="center" vertical="center"/>
    </xf>
    <xf numFmtId="164" fontId="22" fillId="4" borderId="37" xfId="5" applyNumberFormat="1" applyFont="1" applyFill="1" applyBorder="1" applyAlignment="1">
      <alignment horizontal="center" vertical="center"/>
    </xf>
    <xf numFmtId="0" fontId="15" fillId="0" borderId="38" xfId="0" applyFont="1" applyBorder="1" applyAlignment="1">
      <alignment horizontal="left" vertical="center" indent="2"/>
    </xf>
    <xf numFmtId="44" fontId="16" fillId="0" borderId="39" xfId="5" applyFont="1" applyFill="1" applyBorder="1" applyAlignment="1">
      <alignment horizontal="center" vertical="center"/>
    </xf>
    <xf numFmtId="44" fontId="16" fillId="0" borderId="40" xfId="5" applyFont="1" applyFill="1" applyBorder="1" applyAlignment="1">
      <alignment horizontal="center" vertical="center"/>
    </xf>
    <xf numFmtId="164" fontId="16" fillId="0" borderId="41" xfId="5" applyNumberFormat="1" applyFont="1" applyFill="1" applyBorder="1" applyAlignment="1">
      <alignment horizontal="center" vertical="center"/>
    </xf>
    <xf numFmtId="44" fontId="15" fillId="9" borderId="41" xfId="5" applyFont="1" applyFill="1" applyBorder="1" applyAlignment="1">
      <alignment horizontal="center" vertical="center"/>
    </xf>
    <xf numFmtId="3" fontId="32" fillId="0" borderId="41" xfId="0" applyNumberFormat="1" applyFont="1" applyBorder="1" applyAlignment="1">
      <alignment horizontal="left" vertical="top" wrapText="1"/>
    </xf>
    <xf numFmtId="164" fontId="15" fillId="0" borderId="42" xfId="5" applyNumberFormat="1" applyFont="1" applyFill="1" applyBorder="1" applyAlignment="1">
      <alignment horizontal="center" vertical="center"/>
    </xf>
    <xf numFmtId="164" fontId="15" fillId="0" borderId="41" xfId="5" applyNumberFormat="1" applyFont="1" applyFill="1" applyBorder="1" applyAlignment="1">
      <alignment horizontal="center" vertical="center"/>
    </xf>
    <xf numFmtId="44" fontId="15" fillId="0" borderId="41" xfId="5" applyFont="1" applyFill="1" applyBorder="1" applyAlignment="1">
      <alignment horizontal="left" vertical="top" wrapText="1"/>
    </xf>
    <xf numFmtId="44" fontId="15" fillId="9" borderId="43" xfId="5" applyFont="1" applyFill="1" applyBorder="1" applyAlignment="1">
      <alignment horizontal="center" vertical="center"/>
    </xf>
    <xf numFmtId="0" fontId="7" fillId="0" borderId="0" xfId="0" applyFont="1" applyAlignment="1">
      <alignment vertical="center" wrapText="1"/>
    </xf>
    <xf numFmtId="0" fontId="2" fillId="0" borderId="0" xfId="0" applyFont="1" applyAlignment="1">
      <alignment horizontal="right" vertical="center"/>
    </xf>
    <xf numFmtId="44" fontId="15" fillId="9" borderId="44" xfId="5" applyFont="1" applyFill="1" applyBorder="1" applyAlignment="1">
      <alignment horizontal="center" vertical="center"/>
    </xf>
    <xf numFmtId="0" fontId="49" fillId="0" borderId="0" xfId="0" applyFont="1"/>
    <xf numFmtId="4" fontId="50" fillId="4" borderId="0" xfId="0" applyNumberFormat="1" applyFont="1" applyFill="1" applyAlignment="1">
      <alignment horizontal="left" vertical="top" wrapText="1"/>
    </xf>
    <xf numFmtId="164" fontId="53" fillId="5" borderId="0" xfId="5" applyNumberFormat="1" applyFont="1" applyFill="1" applyAlignment="1">
      <alignment horizontal="center" vertical="center"/>
    </xf>
    <xf numFmtId="44" fontId="53" fillId="4" borderId="0" xfId="5" applyFont="1" applyFill="1" applyAlignment="1">
      <alignment horizontal="center" vertical="center"/>
    </xf>
    <xf numFmtId="164" fontId="54" fillId="4" borderId="0" xfId="5" applyNumberFormat="1" applyFont="1" applyFill="1" applyAlignment="1">
      <alignment horizontal="center" vertical="center"/>
    </xf>
    <xf numFmtId="164" fontId="55" fillId="0" borderId="41" xfId="5" applyNumberFormat="1" applyFont="1" applyFill="1" applyBorder="1" applyAlignment="1">
      <alignment horizontal="center" vertical="center"/>
    </xf>
    <xf numFmtId="0" fontId="9" fillId="7" borderId="5" xfId="1" applyFont="1" applyFill="1" applyBorder="1" applyAlignment="1">
      <alignment horizontal="center" vertical="center"/>
    </xf>
    <xf numFmtId="0" fontId="5" fillId="10" borderId="8" xfId="1" applyFill="1" applyBorder="1" applyAlignment="1">
      <alignment horizontal="left" vertical="center" wrapText="1"/>
    </xf>
    <xf numFmtId="0" fontId="5" fillId="10" borderId="9" xfId="1" applyFill="1" applyBorder="1" applyAlignment="1">
      <alignment horizontal="left" vertical="center" wrapText="1"/>
    </xf>
    <xf numFmtId="0" fontId="5" fillId="10" borderId="10" xfId="1" applyFill="1" applyBorder="1" applyAlignment="1">
      <alignment horizontal="left" vertical="center" wrapText="1"/>
    </xf>
    <xf numFmtId="0" fontId="5" fillId="10" borderId="14" xfId="1" applyFill="1" applyBorder="1" applyAlignment="1">
      <alignment horizontal="left" vertical="center" wrapText="1"/>
    </xf>
    <xf numFmtId="0" fontId="5" fillId="10" borderId="0" xfId="1" applyFill="1" applyBorder="1" applyAlignment="1">
      <alignment horizontal="left" vertical="center" wrapText="1"/>
    </xf>
    <xf numFmtId="0" fontId="5" fillId="10" borderId="15" xfId="1" applyFill="1" applyBorder="1" applyAlignment="1">
      <alignment horizontal="left" vertical="center" wrapText="1"/>
    </xf>
    <xf numFmtId="0" fontId="31" fillId="10" borderId="11" xfId="0" applyFont="1" applyFill="1" applyBorder="1" applyAlignment="1">
      <alignment horizontal="left" wrapText="1"/>
    </xf>
    <xf numFmtId="0" fontId="31" fillId="10" borderId="12" xfId="0" applyFont="1" applyFill="1" applyBorder="1" applyAlignment="1">
      <alignment horizontal="left" wrapText="1"/>
    </xf>
    <xf numFmtId="0" fontId="31" fillId="10" borderId="13" xfId="0" applyFont="1" applyFill="1" applyBorder="1" applyAlignment="1">
      <alignment horizontal="left" wrapText="1"/>
    </xf>
    <xf numFmtId="0" fontId="38" fillId="10" borderId="0" xfId="0" applyFont="1" applyFill="1" applyAlignment="1">
      <alignment horizontal="left" vertical="top" wrapText="1"/>
    </xf>
    <xf numFmtId="0" fontId="38" fillId="10" borderId="16" xfId="0" applyFont="1" applyFill="1" applyBorder="1" applyAlignment="1">
      <alignment horizontal="left" vertical="top" wrapText="1"/>
    </xf>
    <xf numFmtId="0" fontId="38" fillId="10" borderId="22" xfId="0" applyFont="1" applyFill="1" applyBorder="1" applyAlignment="1">
      <alignment horizontal="left" vertical="top" wrapText="1"/>
    </xf>
    <xf numFmtId="0" fontId="38" fillId="10" borderId="23" xfId="0" applyFont="1" applyFill="1" applyBorder="1" applyAlignment="1">
      <alignment horizontal="left" vertical="top" wrapText="1"/>
    </xf>
    <xf numFmtId="0" fontId="31" fillId="10" borderId="17" xfId="0" applyFont="1" applyFill="1" applyBorder="1" applyAlignment="1">
      <alignment horizontal="left" wrapText="1"/>
    </xf>
    <xf numFmtId="0" fontId="31" fillId="10" borderId="0" xfId="0" applyFont="1" applyFill="1" applyAlignment="1">
      <alignment horizontal="left" wrapText="1"/>
    </xf>
    <xf numFmtId="0" fontId="38" fillId="10" borderId="17" xfId="0" applyFont="1" applyFill="1" applyBorder="1" applyAlignment="1">
      <alignment horizontal="left" vertical="top" wrapText="1"/>
    </xf>
    <xf numFmtId="0" fontId="38" fillId="10" borderId="19" xfId="0" applyFont="1" applyFill="1" applyBorder="1" applyAlignment="1">
      <alignment horizontal="left" vertical="top" wrapText="1"/>
    </xf>
    <xf numFmtId="0" fontId="38" fillId="10" borderId="20" xfId="0" applyFont="1" applyFill="1" applyBorder="1" applyAlignment="1">
      <alignment horizontal="left" vertical="top" wrapText="1"/>
    </xf>
  </cellXfs>
  <cellStyles count="7">
    <cellStyle name="Currency" xfId="5" builtinId="4"/>
    <cellStyle name="Heading 1" xfId="2" builtinId="16" customBuiltin="1"/>
    <cellStyle name="Heading 2" xfId="3" builtinId="17" customBuiltin="1"/>
    <cellStyle name="Heading 3" xfId="4" builtinId="18" customBuiltin="1"/>
    <cellStyle name="Hyperlink" xfId="6" builtinId="8"/>
    <cellStyle name="Normal" xfId="0" builtinId="0" customBuiltin="1"/>
    <cellStyle name="Title" xfId="1" builtinId="15" customBuiltin="1"/>
  </cellStyles>
  <dxfs count="21">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4"/>
        <color theme="3"/>
        <name val="Franklin Gothic Book"/>
        <scheme val="minor"/>
      </font>
      <fill>
        <patternFill patternType="solid">
          <fgColor indexed="64"/>
          <bgColor theme="4"/>
        </patternFill>
      </fill>
      <alignment horizontal="left" vertical="top" textRotation="0" wrapText="1" indent="0" justifyLastLine="0" shrinkToFit="0" readingOrder="0"/>
    </dxf>
    <dxf>
      <alignment vertical="top" textRotation="0" wrapText="1" indent="0" justifyLastLine="0" shrinkToFit="0" readingOrder="0"/>
    </dxf>
    <dxf>
      <font>
        <strike val="0"/>
        <outline val="0"/>
        <shadow val="0"/>
        <u val="none"/>
        <vertAlign val="baseline"/>
        <sz val="18"/>
        <color theme="3"/>
        <name val="Franklin Gothic Book"/>
        <scheme val="minor"/>
      </font>
      <alignment horizontal="center" vertical="top" textRotation="0" wrapText="1" indent="0" justifyLastLine="0" shrinkToFit="0" readingOrder="0"/>
    </dxf>
    <dxf>
      <alignment vertical="top" textRotation="0" wrapText="1" indent="0" justifyLastLine="0" shrinkToFit="0" readingOrder="0"/>
    </dxf>
    <dxf>
      <font>
        <strike val="0"/>
        <outline val="0"/>
        <shadow val="0"/>
        <u val="none"/>
        <vertAlign val="baseline"/>
        <sz val="14"/>
        <color theme="3"/>
        <name val="Franklin Gothic Book"/>
        <scheme val="minor"/>
      </font>
      <fill>
        <patternFill patternType="solid">
          <fgColor indexed="64"/>
          <bgColor theme="4"/>
        </patternFill>
      </fill>
      <alignment horizontal="general"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horizontal="lef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font>
        <strike val="0"/>
        <outline val="0"/>
        <shadow val="0"/>
        <u val="none"/>
        <vertAlign val="baseline"/>
        <sz val="14"/>
        <color theme="3"/>
        <name val="Franklin Gothic Book"/>
        <scheme val="minor"/>
      </font>
      <fill>
        <patternFill patternType="solid">
          <fgColor indexed="64"/>
          <bgColor theme="4"/>
        </patternFill>
      </fill>
      <alignment horizontal="general" vertical="top" textRotation="0" wrapText="1" indent="0" justifyLastLine="0" shrinkToFit="0" readingOrder="0"/>
    </dxf>
    <dxf>
      <font>
        <color rgb="FF9C0006"/>
      </font>
      <fill>
        <patternFill>
          <bgColor rgb="FFFFC7CE"/>
        </patternFill>
      </fill>
    </dxf>
    <dxf>
      <font>
        <color theme="4" tint="-0.24994659260841701"/>
      </font>
    </dxf>
    <dxf>
      <font>
        <color theme="6" tint="-0.24994659260841701"/>
      </font>
    </dxf>
    <dxf>
      <font>
        <color theme="4" tint="-0.24994659260841701"/>
      </font>
    </dxf>
    <dxf>
      <font>
        <color theme="6" tint="-0.24994659260841701"/>
      </font>
    </dxf>
    <dxf>
      <border diagonalUp="0" diagonalDown="0">
        <left/>
        <right/>
        <top/>
        <bottom style="thick">
          <color theme="0"/>
        </bottom>
        <vertical/>
        <horizontal/>
      </border>
    </dxf>
  </dxfs>
  <tableStyles count="1" defaultTableStyle="TableStyleMedium2" defaultPivotStyle="PivotStyleLight16">
    <tableStyle name="Table Style 1" pivot="0" count="1" xr9:uid="{02498DF3-1807-644C-8C56-E4A2EA881084}">
      <tableStyleElement type="totalRow" dxfId="20"/>
    </tableStyle>
  </tableStyles>
  <colors>
    <mruColors>
      <color rgb="FFD9FFCD"/>
      <color rgb="FF2AB000"/>
      <color rgb="FFF8F8F8"/>
      <color rgb="FFE8E8E8"/>
      <color rgb="FFC8F2FF"/>
      <color rgb="FF1B335A"/>
      <color rgb="FF38424C"/>
      <color rgb="FF79DDFF"/>
      <color rgb="FF12355B"/>
      <color rgb="FF3595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-3811</xdr:colOff>
      <xdr:row>0</xdr:row>
      <xdr:rowOff>3810</xdr:rowOff>
    </xdr:from>
    <xdr:to>
      <xdr:col>0</xdr:col>
      <xdr:colOff>1788281</xdr:colOff>
      <xdr:row>8</xdr:row>
      <xdr:rowOff>3810</xdr:rowOff>
    </xdr:to>
    <xdr:pic>
      <xdr:nvPicPr>
        <xdr:cNvPr id="7" name="Picture 6">
          <a:extLst>
            <a:ext uri="{FF2B5EF4-FFF2-40B4-BE49-F238E27FC236}">
              <a16:creationId xmlns:a16="http://schemas.microsoft.com/office/drawing/2014/main" id="{17D595C4-C2FC-40F4-93BC-E1B4143136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1" y="3810"/>
          <a:ext cx="1792092" cy="16954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956F606-DDD4-4C43-BB9E-B6E196BE2EAA}" name="Tasks" displayName="Tasks" ref="D8:G13" headerRowDxfId="14" dataDxfId="13" totalsRowDxfId="12">
  <autoFilter ref="D8:G13" xr:uid="{1956F606-DDD4-4C43-BB9E-B6E196BE2EAA}"/>
  <tableColumns count="4">
    <tableColumn id="1" xr3:uid="{22944CBE-9159-4C0D-8AE0-134389402C15}" name="Tasks" totalsRowLabel="Total" dataDxfId="11"/>
    <tableColumn id="2" xr3:uid="{0151B7D6-36B4-4460-BCE3-A93BB5C44FAF}" name="Assigned to" dataDxfId="10"/>
    <tableColumn id="3" xr3:uid="{B7DEF5CA-7A70-44D1-8D30-FBEB6B2400A7}" name="Status" dataDxfId="9"/>
    <tableColumn id="4" xr3:uid="{220561C3-0EE8-4336-B25C-09317D1EEDCB}" name="Resource" dataDxfId="8"/>
  </tableColumns>
  <tableStyleInfo name="TableStyleMedium9" showFirstColumn="0" showLastColumn="0" showRowStripes="1" showColumnStripes="0"/>
  <extLst>
    <ext xmlns:x14="http://schemas.microsoft.com/office/spreadsheetml/2009/9/main" uri="{504A1905-F514-4f6f-8877-14C23A59335A}">
      <x14:table altTextSummary="Enter Tasks, Assigned to names, and Status in this table and create a list of resources in Resource List table at righ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78D7A34-DD56-444F-A6D3-F95587926543}" name="Steps" displayName="Steps" ref="B8:C19" totalsRowShown="0" headerRowDxfId="7" dataDxfId="6">
  <autoFilter ref="B8:C19" xr:uid="{178D7A34-DD56-444F-A6D3-F95587926543}"/>
  <tableColumns count="2">
    <tableColumn id="1" xr3:uid="{003781C2-8279-4D75-B5A9-EA6F39969083}" name="Steps" dataDxfId="5"/>
    <tableColumn id="2" xr3:uid="{A6F964BC-C277-4BD1-83C9-B75FB7E7253B}" name="Description" dataDxfId="4"/>
  </tableColumns>
  <tableStyleInfo name="TableStyleMedium23" showFirstColumn="0" showLastColumn="0" showRowStripes="1" showColumnStripes="0"/>
  <extLst>
    <ext xmlns:x14="http://schemas.microsoft.com/office/spreadsheetml/2009/9/main" uri="{504A1905-F514-4f6f-8877-14C23A59335A}">
      <x14:table altTextSummary="Enter Steps and Description in this table and task details in Tasks table at righ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5402980-4D4F-45CD-B692-3E7CC929D93B}" name="ResourceList" displayName="ResourceList" ref="H8:I15" totalsRowShown="0" headerRowDxfId="3" dataDxfId="2">
  <autoFilter ref="H8:I15" xr:uid="{25402980-4D4F-45CD-B692-3E7CC929D93B}"/>
  <tableColumns count="2">
    <tableColumn id="1" xr3:uid="{AB7D23DD-AC9F-4567-8ED0-FA27CDBA6F11}" name="Notes" dataDxfId="1"/>
    <tableColumn id="2" xr3:uid="{33E08B78-4068-4108-95B4-E32D3E7F015E}" name="Date" dataDxfId="0"/>
  </tableColumns>
  <tableStyleInfo name="TableStyleMedium23" showFirstColumn="0" showLastColumn="0" showRowStripes="1" showColumnStripes="0"/>
  <extLst>
    <ext xmlns:x14="http://schemas.microsoft.com/office/spreadsheetml/2009/9/main" uri="{504A1905-F514-4f6f-8877-14C23A59335A}">
      <x14:table altTextSummary="Create a resource list in this table"/>
    </ext>
  </extLst>
</table>
</file>

<file path=xl/theme/theme1.xml><?xml version="1.0" encoding="utf-8"?>
<a:theme xmlns:a="http://schemas.openxmlformats.org/drawingml/2006/main" name="Office Theme">
  <a:themeElements>
    <a:clrScheme name="Custom 22">
      <a:dk1>
        <a:srgbClr val="000000"/>
      </a:dk1>
      <a:lt1>
        <a:srgbClr val="FFFFFF"/>
      </a:lt1>
      <a:dk2>
        <a:srgbClr val="44546A"/>
      </a:dk2>
      <a:lt2>
        <a:srgbClr val="E7E6E6"/>
      </a:lt2>
      <a:accent1>
        <a:srgbClr val="C1F2FE"/>
      </a:accent1>
      <a:accent2>
        <a:srgbClr val="113459"/>
      </a:accent2>
      <a:accent3>
        <a:srgbClr val="77DDFE"/>
      </a:accent3>
      <a:accent4>
        <a:srgbClr val="E2F0FD"/>
      </a:accent4>
      <a:accent5>
        <a:srgbClr val="5DEBCC"/>
      </a:accent5>
      <a:accent6>
        <a:srgbClr val="EB65D0"/>
      </a:accent6>
      <a:hlink>
        <a:srgbClr val="0563C1"/>
      </a:hlink>
      <a:folHlink>
        <a:srgbClr val="954F72"/>
      </a:folHlink>
    </a:clrScheme>
    <a:fontScheme name="Custom 37">
      <a:majorFont>
        <a:latin typeface="Franklin Gothic Medium"/>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moovitapp.com/boise_id-5094/lines/blue/37334019/5152456/en?ref=2&amp;customerId=4908" TargetMode="External"/><Relationship Id="rId7" Type="http://schemas.openxmlformats.org/officeDocument/2006/relationships/table" Target="../tables/table3.xml"/><Relationship Id="rId2" Type="http://schemas.openxmlformats.org/officeDocument/2006/relationships/hyperlink" Target="https://moovitapp.com/boise_id-5094/lines/blue/37334019/5152456/en?ref=2&amp;customerId=4908" TargetMode="External"/><Relationship Id="rId1" Type="http://schemas.openxmlformats.org/officeDocument/2006/relationships/hyperlink" Target="https://maps.boisestate.edu/?id=715"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pageSetUpPr fitToPage="1"/>
  </sheetPr>
  <dimension ref="A1:X17"/>
  <sheetViews>
    <sheetView showGridLines="0" topLeftCell="J1" zoomScaleNormal="100" zoomScalePageLayoutView="92" workbookViewId="0">
      <selection activeCell="H4" sqref="H4"/>
    </sheetView>
  </sheetViews>
  <sheetFormatPr defaultColWidth="8.75" defaultRowHeight="19.5" customHeight="1"/>
  <cols>
    <col min="1" max="1" width="2" style="116" customWidth="1"/>
    <col min="2" max="2" width="55.75" style="2" customWidth="1"/>
    <col min="3" max="3" width="13.5" style="4" customWidth="1"/>
    <col min="4" max="9" width="10.75" style="4" customWidth="1"/>
    <col min="10" max="10" width="15" style="4" customWidth="1"/>
    <col min="11" max="11" width="36.25" style="4" customWidth="1"/>
    <col min="12" max="12" width="12.75" style="31" customWidth="1"/>
    <col min="13" max="14" width="10.75" style="31" customWidth="1"/>
    <col min="15" max="15" width="21.25" style="23" customWidth="1"/>
    <col min="16" max="16" width="18.875" style="31" customWidth="1"/>
    <col min="17" max="17" width="12.25" style="4" customWidth="1"/>
    <col min="18" max="20" width="10.75" style="4" customWidth="1"/>
    <col min="21" max="21" width="21.375" style="22" customWidth="1"/>
    <col min="22" max="22" width="14.625" style="31" customWidth="1"/>
    <col min="23" max="23" width="15.75" style="31" customWidth="1"/>
    <col min="24" max="24" width="2.25" style="95" customWidth="1"/>
    <col min="25" max="16384" width="8.75" style="1"/>
  </cols>
  <sheetData>
    <row r="1" spans="1:24" ht="124.9" customHeight="1">
      <c r="B1" s="7"/>
      <c r="C1" s="208" t="s">
        <v>0</v>
      </c>
      <c r="D1" s="208"/>
      <c r="E1" s="208"/>
      <c r="F1" s="208"/>
      <c r="G1" s="208"/>
      <c r="H1" s="208"/>
      <c r="I1" s="208"/>
      <c r="J1" s="208"/>
      <c r="K1" s="208"/>
      <c r="L1" s="208"/>
      <c r="M1" s="208"/>
      <c r="N1" s="208"/>
      <c r="O1" s="208"/>
      <c r="P1" s="208"/>
      <c r="Q1" s="208"/>
      <c r="R1" s="208"/>
      <c r="S1" s="208"/>
      <c r="T1" s="208"/>
      <c r="U1" s="73"/>
      <c r="V1" s="32"/>
      <c r="W1" s="32"/>
    </row>
    <row r="2" spans="1:24" ht="30" customHeight="1">
      <c r="B2" s="7"/>
      <c r="C2" s="8"/>
      <c r="D2" s="8"/>
      <c r="E2" s="8"/>
      <c r="F2" s="8"/>
      <c r="G2" s="8"/>
      <c r="H2" s="8"/>
      <c r="I2" s="8"/>
      <c r="J2" s="8"/>
      <c r="K2" s="8"/>
      <c r="L2" s="25"/>
      <c r="M2" s="25"/>
      <c r="N2" s="25"/>
      <c r="O2" s="20"/>
      <c r="P2" s="25"/>
      <c r="Q2" s="8"/>
      <c r="R2" s="8"/>
      <c r="S2" s="8"/>
      <c r="T2" s="8"/>
      <c r="U2" s="73"/>
      <c r="V2" s="32"/>
      <c r="W2" s="32"/>
    </row>
    <row r="3" spans="1:24" s="3" customFormat="1" ht="49.9" customHeight="1">
      <c r="A3" s="117"/>
      <c r="B3" s="9" t="s">
        <v>1</v>
      </c>
      <c r="C3" s="134" t="s">
        <v>2</v>
      </c>
      <c r="D3" s="135" t="s">
        <v>3</v>
      </c>
      <c r="E3" s="10" t="s">
        <v>4</v>
      </c>
      <c r="F3" s="10" t="s">
        <v>5</v>
      </c>
      <c r="G3" s="10" t="s">
        <v>6</v>
      </c>
      <c r="H3" s="10" t="s">
        <v>7</v>
      </c>
      <c r="I3" s="10" t="s">
        <v>8</v>
      </c>
      <c r="J3" s="10" t="s">
        <v>9</v>
      </c>
      <c r="K3" s="10" t="s">
        <v>10</v>
      </c>
      <c r="L3" s="26" t="s">
        <v>11</v>
      </c>
      <c r="M3" s="27" t="s">
        <v>12</v>
      </c>
      <c r="N3" s="153" t="s">
        <v>13</v>
      </c>
      <c r="O3" s="21" t="s">
        <v>10</v>
      </c>
      <c r="P3" s="49" t="s">
        <v>14</v>
      </c>
      <c r="Q3" s="10" t="s">
        <v>15</v>
      </c>
      <c r="R3" s="10" t="s">
        <v>16</v>
      </c>
      <c r="S3" s="10" t="s">
        <v>17</v>
      </c>
      <c r="T3" s="10" t="s">
        <v>18</v>
      </c>
      <c r="U3" s="74" t="s">
        <v>10</v>
      </c>
      <c r="V3" s="35" t="s">
        <v>19</v>
      </c>
      <c r="W3" s="33" t="s">
        <v>20</v>
      </c>
      <c r="X3" s="96"/>
    </row>
    <row r="4" spans="1:24" s="12" customFormat="1" ht="48.6" customHeight="1">
      <c r="A4" s="199"/>
      <c r="B4" s="189" t="s">
        <v>21</v>
      </c>
      <c r="C4" s="190"/>
      <c r="D4" s="191" t="s">
        <v>22</v>
      </c>
      <c r="E4" s="192">
        <f>SUM(E5:E11)</f>
        <v>0</v>
      </c>
      <c r="F4" s="192">
        <f>SUM(F5:F12)</f>
        <v>680</v>
      </c>
      <c r="G4" s="192">
        <f>SUM(G5:G11)</f>
        <v>400</v>
      </c>
      <c r="H4" s="207">
        <f>SUM(H5:H11)</f>
        <v>590</v>
      </c>
      <c r="I4" s="192">
        <f>SUM(I5:I11)</f>
        <v>0</v>
      </c>
      <c r="J4" s="193">
        <f>SUM(J5:J12)</f>
        <v>1670</v>
      </c>
      <c r="K4" s="194" t="s">
        <v>23</v>
      </c>
      <c r="L4" s="195">
        <f>SUM(L6:L12)</f>
        <v>0</v>
      </c>
      <c r="M4" s="196">
        <f>SUM(M6:M12)</f>
        <v>0</v>
      </c>
      <c r="N4" s="196">
        <f>SUM(N6:N12)</f>
        <v>140</v>
      </c>
      <c r="O4" s="197"/>
      <c r="P4" s="198">
        <f>SUM(P5:P12)</f>
        <v>140</v>
      </c>
      <c r="Q4" s="196">
        <f>SUM(Q6:Q12)</f>
        <v>140</v>
      </c>
      <c r="R4" s="196">
        <f>SUM(R6:R12)</f>
        <v>140</v>
      </c>
      <c r="S4" s="196">
        <f t="shared" ref="S4:T4" si="0">SUM(S6:S12)</f>
        <v>0</v>
      </c>
      <c r="T4" s="196">
        <f t="shared" si="0"/>
        <v>0</v>
      </c>
      <c r="U4" s="197"/>
      <c r="V4" s="193">
        <f>SUM(V5:V12)</f>
        <v>280</v>
      </c>
      <c r="W4" s="201">
        <f>P4+J4+V4</f>
        <v>2090</v>
      </c>
      <c r="X4" s="200"/>
    </row>
    <row r="5" spans="1:24" s="13" customFormat="1" ht="30" customHeight="1">
      <c r="A5" s="118" t="s">
        <v>24</v>
      </c>
      <c r="B5" s="202" t="s">
        <v>25</v>
      </c>
      <c r="C5" s="138"/>
      <c r="D5" s="139"/>
      <c r="E5"/>
      <c r="F5"/>
      <c r="G5"/>
      <c r="H5"/>
      <c r="I5"/>
      <c r="J5"/>
      <c r="K5" s="16"/>
      <c r="L5" s="29"/>
      <c r="M5" s="30"/>
      <c r="N5" s="154"/>
      <c r="O5" s="16"/>
      <c r="P5" s="50"/>
      <c r="Q5"/>
      <c r="R5"/>
      <c r="S5"/>
      <c r="T5"/>
      <c r="U5" s="75"/>
      <c r="V5" s="19"/>
      <c r="W5" s="104"/>
      <c r="X5" s="98"/>
    </row>
    <row r="6" spans="1:24" s="40" customFormat="1" ht="114.6" customHeight="1">
      <c r="A6" s="119"/>
      <c r="B6" s="6" t="s">
        <v>26</v>
      </c>
      <c r="C6" s="140">
        <v>450</v>
      </c>
      <c r="D6" s="141" t="s">
        <v>27</v>
      </c>
      <c r="E6" s="129">
        <v>0</v>
      </c>
      <c r="F6" s="129">
        <v>0</v>
      </c>
      <c r="G6" s="129">
        <v>0</v>
      </c>
      <c r="H6" s="204">
        <f>+$C$6</f>
        <v>450</v>
      </c>
      <c r="I6" s="129">
        <v>0</v>
      </c>
      <c r="J6" s="129">
        <f>SUM(E6:I6)</f>
        <v>450</v>
      </c>
      <c r="K6" s="17" t="s">
        <v>28</v>
      </c>
      <c r="L6" s="156">
        <v>0</v>
      </c>
      <c r="M6" s="129">
        <v>0</v>
      </c>
      <c r="N6" s="129">
        <v>0</v>
      </c>
      <c r="O6" s="24" t="s">
        <v>29</v>
      </c>
      <c r="P6" s="94" t="s">
        <v>30</v>
      </c>
      <c r="Q6" s="129">
        <v>0</v>
      </c>
      <c r="R6" s="129">
        <v>0</v>
      </c>
      <c r="S6" s="129">
        <v>0</v>
      </c>
      <c r="T6" s="129">
        <v>0</v>
      </c>
      <c r="U6" s="76" t="s">
        <v>31</v>
      </c>
      <c r="V6" s="39" t="s">
        <v>30</v>
      </c>
      <c r="W6" s="34"/>
      <c r="X6" s="99"/>
    </row>
    <row r="7" spans="1:24" s="38" customFormat="1" ht="112.15" customHeight="1">
      <c r="A7" s="120"/>
      <c r="B7" s="5" t="s">
        <v>32</v>
      </c>
      <c r="C7" s="142">
        <v>400</v>
      </c>
      <c r="D7" s="143" t="s">
        <v>33</v>
      </c>
      <c r="E7" s="130">
        <v>0</v>
      </c>
      <c r="F7" s="130">
        <v>0</v>
      </c>
      <c r="G7" s="130">
        <f>400</f>
        <v>400</v>
      </c>
      <c r="H7" s="130">
        <v>0</v>
      </c>
      <c r="I7" s="130">
        <v>0</v>
      </c>
      <c r="J7" s="206">
        <f t="shared" ref="J7:J8" si="1">SUM(E7:I7)</f>
        <v>400</v>
      </c>
      <c r="K7" s="203" t="s">
        <v>34</v>
      </c>
      <c r="L7" s="157">
        <v>0</v>
      </c>
      <c r="M7" s="130">
        <v>0</v>
      </c>
      <c r="N7" s="158">
        <v>0</v>
      </c>
      <c r="O7" s="176" t="s">
        <v>30</v>
      </c>
      <c r="P7" s="52" t="s">
        <v>30</v>
      </c>
      <c r="Q7" s="130">
        <v>0</v>
      </c>
      <c r="R7" s="130">
        <v>0</v>
      </c>
      <c r="S7" s="130">
        <v>0</v>
      </c>
      <c r="T7" s="130">
        <v>0</v>
      </c>
      <c r="U7" s="183" t="s">
        <v>30</v>
      </c>
      <c r="V7" s="175">
        <f>SUM(Q7:T7)</f>
        <v>0</v>
      </c>
      <c r="W7" s="37"/>
      <c r="X7" s="100"/>
    </row>
    <row r="8" spans="1:24" s="87" customFormat="1" ht="111.6" customHeight="1">
      <c r="A8" s="121"/>
      <c r="B8" s="78" t="s">
        <v>35</v>
      </c>
      <c r="C8" s="144">
        <v>14</v>
      </c>
      <c r="D8" s="145" t="s">
        <v>36</v>
      </c>
      <c r="E8" s="159">
        <v>0</v>
      </c>
      <c r="F8" s="79">
        <v>280</v>
      </c>
      <c r="G8" s="79" t="s">
        <v>37</v>
      </c>
      <c r="H8" s="79" t="s">
        <v>37</v>
      </c>
      <c r="I8" s="79" t="s">
        <v>37</v>
      </c>
      <c r="J8" s="79">
        <f t="shared" si="1"/>
        <v>280</v>
      </c>
      <c r="K8" s="80" t="s">
        <v>38</v>
      </c>
      <c r="L8" s="81">
        <v>0</v>
      </c>
      <c r="M8" s="79" t="s">
        <v>37</v>
      </c>
      <c r="N8" s="88" t="s">
        <v>37</v>
      </c>
      <c r="O8" s="82" t="s">
        <v>39</v>
      </c>
      <c r="P8" s="83">
        <f t="shared" ref="P8" si="2">SUM(L8:N8)</f>
        <v>0</v>
      </c>
      <c r="Q8" s="84">
        <f>L8</f>
        <v>0</v>
      </c>
      <c r="R8" s="84" t="s">
        <v>37</v>
      </c>
      <c r="S8" s="84" t="s">
        <v>37</v>
      </c>
      <c r="T8" s="84" t="s">
        <v>37</v>
      </c>
      <c r="U8" s="82" t="s">
        <v>40</v>
      </c>
      <c r="V8" s="85">
        <f t="shared" ref="V8:V11" si="3">SUM(Q8:T8)</f>
        <v>0</v>
      </c>
      <c r="W8" s="86"/>
      <c r="X8" s="101"/>
    </row>
    <row r="9" spans="1:24" s="87" customFormat="1" ht="111.6" customHeight="1">
      <c r="A9" s="121"/>
      <c r="B9" s="78" t="s">
        <v>41</v>
      </c>
      <c r="C9" s="144" t="s">
        <v>30</v>
      </c>
      <c r="D9" s="145" t="s">
        <v>42</v>
      </c>
      <c r="E9" s="79" t="s">
        <v>37</v>
      </c>
      <c r="F9" s="79" t="s">
        <v>37</v>
      </c>
      <c r="G9" s="79" t="s">
        <v>37</v>
      </c>
      <c r="H9" s="79" t="s">
        <v>37</v>
      </c>
      <c r="I9" s="79" t="s">
        <v>37</v>
      </c>
      <c r="J9" s="79" t="s">
        <v>30</v>
      </c>
      <c r="K9" s="80" t="s">
        <v>43</v>
      </c>
      <c r="L9" s="81" t="str">
        <f>E9</f>
        <v>Free</v>
      </c>
      <c r="M9" s="88" t="str">
        <f t="shared" ref="M9:N9" si="4">F9</f>
        <v>Free</v>
      </c>
      <c r="N9" s="88" t="str">
        <f t="shared" si="4"/>
        <v>Free</v>
      </c>
      <c r="O9" s="82" t="s">
        <v>44</v>
      </c>
      <c r="P9" s="83" t="s">
        <v>30</v>
      </c>
      <c r="Q9" s="84" t="s">
        <v>37</v>
      </c>
      <c r="R9" s="84" t="s">
        <v>37</v>
      </c>
      <c r="S9" s="84" t="s">
        <v>37</v>
      </c>
      <c r="T9" s="84" t="s">
        <v>37</v>
      </c>
      <c r="U9" s="82" t="s">
        <v>44</v>
      </c>
      <c r="V9" s="85" t="s">
        <v>30</v>
      </c>
      <c r="W9" s="86"/>
      <c r="X9" s="101"/>
    </row>
    <row r="10" spans="1:24" s="87" customFormat="1" ht="111.6" customHeight="1">
      <c r="A10" s="121"/>
      <c r="B10" s="89" t="s">
        <v>45</v>
      </c>
      <c r="C10" s="146" t="s">
        <v>30</v>
      </c>
      <c r="D10" s="147" t="s">
        <v>46</v>
      </c>
      <c r="E10" s="90" t="s">
        <v>37</v>
      </c>
      <c r="F10" s="90" t="s">
        <v>37</v>
      </c>
      <c r="G10" s="90" t="s">
        <v>37</v>
      </c>
      <c r="H10" s="90" t="s">
        <v>37</v>
      </c>
      <c r="I10" s="90" t="s">
        <v>37</v>
      </c>
      <c r="J10" s="90" t="s">
        <v>37</v>
      </c>
      <c r="K10" s="91" t="s">
        <v>47</v>
      </c>
      <c r="L10" s="187" t="s">
        <v>37</v>
      </c>
      <c r="M10" s="186" t="s">
        <v>37</v>
      </c>
      <c r="N10" s="88" t="s">
        <v>37</v>
      </c>
      <c r="O10" s="177" t="s">
        <v>30</v>
      </c>
      <c r="P10" s="83" t="s">
        <v>30</v>
      </c>
      <c r="Q10" s="93" t="s">
        <v>37</v>
      </c>
      <c r="R10" s="93" t="s">
        <v>37</v>
      </c>
      <c r="S10" s="93" t="s">
        <v>37</v>
      </c>
      <c r="T10" s="93" t="s">
        <v>37</v>
      </c>
      <c r="U10" s="82" t="s">
        <v>48</v>
      </c>
      <c r="V10" s="179">
        <f t="shared" ref="V10" si="5">SUM(Q10:T10)</f>
        <v>0</v>
      </c>
      <c r="W10" s="81"/>
      <c r="X10" s="101"/>
    </row>
    <row r="11" spans="1:24" s="41" customFormat="1" ht="111.6" customHeight="1">
      <c r="A11" s="122"/>
      <c r="B11" s="42" t="s">
        <v>49</v>
      </c>
      <c r="C11" s="148">
        <v>140</v>
      </c>
      <c r="D11" s="149" t="s">
        <v>33</v>
      </c>
      <c r="E11" s="43">
        <v>0</v>
      </c>
      <c r="F11" s="43">
        <v>0</v>
      </c>
      <c r="G11" s="43">
        <v>0</v>
      </c>
      <c r="H11" s="43">
        <v>140</v>
      </c>
      <c r="I11" s="43">
        <v>0</v>
      </c>
      <c r="J11" s="204">
        <f>SUM(E11:I11)</f>
        <v>140</v>
      </c>
      <c r="K11" s="45" t="s">
        <v>50</v>
      </c>
      <c r="L11" s="125">
        <v>0</v>
      </c>
      <c r="M11" s="126">
        <v>0</v>
      </c>
      <c r="N11" s="155">
        <v>140</v>
      </c>
      <c r="O11" s="178" t="s">
        <v>30</v>
      </c>
      <c r="P11" s="185">
        <f>SUM(L11:O11)</f>
        <v>140</v>
      </c>
      <c r="Q11" s="44">
        <v>140</v>
      </c>
      <c r="R11" s="44">
        <v>140</v>
      </c>
      <c r="S11" s="126">
        <v>0</v>
      </c>
      <c r="T11" s="126">
        <v>0</v>
      </c>
      <c r="U11" s="45" t="s">
        <v>51</v>
      </c>
      <c r="V11" s="39">
        <f t="shared" si="3"/>
        <v>280</v>
      </c>
      <c r="W11" s="46"/>
      <c r="X11" s="102"/>
    </row>
    <row r="12" spans="1:24" s="48" customFormat="1" ht="111.6" customHeight="1">
      <c r="A12" s="123"/>
      <c r="B12" s="105" t="s">
        <v>52</v>
      </c>
      <c r="C12" s="150">
        <v>400</v>
      </c>
      <c r="D12" s="151" t="s">
        <v>53</v>
      </c>
      <c r="E12" s="106">
        <v>0</v>
      </c>
      <c r="F12" s="106">
        <f>C12</f>
        <v>400</v>
      </c>
      <c r="G12" s="106">
        <v>0</v>
      </c>
      <c r="H12" s="106">
        <v>0</v>
      </c>
      <c r="I12" s="106">
        <v>0</v>
      </c>
      <c r="J12" s="205">
        <f t="shared" ref="J12" si="6">SUM(E12:I12)</f>
        <v>400</v>
      </c>
      <c r="K12" s="107" t="s">
        <v>54</v>
      </c>
      <c r="L12" s="127">
        <v>0</v>
      </c>
      <c r="M12" s="128">
        <v>0</v>
      </c>
      <c r="N12" s="188">
        <v>0</v>
      </c>
      <c r="O12" s="180" t="s">
        <v>30</v>
      </c>
      <c r="P12" s="184">
        <f>SUM(L12:N12)</f>
        <v>0</v>
      </c>
      <c r="Q12" s="181">
        <v>0</v>
      </c>
      <c r="R12" s="181">
        <v>0</v>
      </c>
      <c r="S12" s="181">
        <v>0</v>
      </c>
      <c r="T12" s="181">
        <v>0</v>
      </c>
      <c r="U12" s="182" t="s">
        <v>30</v>
      </c>
      <c r="V12" s="175">
        <f>SUM(Q12:T12)</f>
        <v>0</v>
      </c>
      <c r="W12" s="47"/>
      <c r="X12" s="103"/>
    </row>
    <row r="13" spans="1:24" s="115" customFormat="1" ht="19.5" customHeight="1">
      <c r="A13" s="124"/>
      <c r="B13" s="108"/>
      <c r="C13" s="4"/>
      <c r="D13" s="4"/>
      <c r="E13" s="109"/>
      <c r="F13" s="109"/>
      <c r="G13" s="109"/>
      <c r="H13" s="109"/>
      <c r="I13" s="109"/>
      <c r="J13" s="109"/>
      <c r="K13" s="110"/>
      <c r="L13" s="111"/>
      <c r="M13" s="111"/>
      <c r="N13" s="152"/>
      <c r="O13" s="112"/>
      <c r="P13" s="111"/>
      <c r="Q13" s="109"/>
      <c r="R13" s="109"/>
      <c r="S13" s="109"/>
      <c r="T13" s="109"/>
      <c r="U13" s="113"/>
      <c r="V13" s="111"/>
      <c r="W13" s="111"/>
      <c r="X13" s="114"/>
    </row>
    <row r="14" spans="1:24" ht="19.5" customHeight="1">
      <c r="K14" s="18"/>
    </row>
    <row r="15" spans="1:24" ht="19.5" customHeight="1">
      <c r="K15" s="18"/>
    </row>
    <row r="16" spans="1:24" ht="19.5" customHeight="1">
      <c r="K16" s="18"/>
    </row>
    <row r="17" spans="11:11" ht="19.5" customHeight="1">
      <c r="K17" s="14"/>
    </row>
  </sheetData>
  <mergeCells count="1">
    <mergeCell ref="C1:T1"/>
  </mergeCells>
  <phoneticPr fontId="26" type="noConversion"/>
  <dataValidations count="3">
    <dataValidation allowBlank="1" showInputMessage="1" showErrorMessage="1" prompt="Rate and Months labels are in this row, from cells C3 through O3, and Total label in cell Q3." sqref="A3" xr:uid="{F2FD0E3F-B395-4013-8457-79ACB4F4DF0D}"/>
    <dataValidation allowBlank="1" showInputMessage="1" showErrorMessage="1" prompt="Create Channel Marketing Budget in this worksheet. Title of this worksheet is in cell C1. Helpful instructions are in cells in this column. Arrow down to get started. " sqref="A1" xr:uid="{4A0D7EF2-9A94-496A-9A79-E7D91AB93200}"/>
    <dataValidation allowBlank="1" showInputMessage="1" showErrorMessage="1" prompt="Anticipated Sales Total label is in cell at right. Enter Anticipated Sales for each month in cells D3 through O3. Total is auto calculated in cell Q3." sqref="A4" xr:uid="{FFC031EF-4C13-42BD-B8F1-CE9019BA1C29}"/>
  </dataValidations>
  <printOptions horizontalCentered="1"/>
  <pageMargins left="0.25" right="0.25" top="0.75" bottom="0.75" header="0.3" footer="0.3"/>
  <pageSetup scale="3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79E4-6B66-49A1-A8F2-5EFC41194965}">
  <dimension ref="A1:X15"/>
  <sheetViews>
    <sheetView workbookViewId="0">
      <selection activeCell="B11" sqref="B11:C11"/>
    </sheetView>
  </sheetViews>
  <sheetFormatPr defaultColWidth="8.75" defaultRowHeight="15"/>
  <cols>
    <col min="1" max="1" width="2" style="116" customWidth="1"/>
    <col min="2" max="2" width="55.75" style="2" customWidth="1"/>
    <col min="3" max="3" width="13.5" style="4" customWidth="1"/>
    <col min="4" max="9" width="10.75" style="4" customWidth="1"/>
    <col min="10" max="10" width="15" style="4" customWidth="1"/>
    <col min="11" max="11" width="36.25" style="4" customWidth="1"/>
    <col min="12" max="12" width="12.75" style="31" customWidth="1"/>
    <col min="13" max="14" width="10.75" style="31" customWidth="1"/>
    <col min="15" max="15" width="21.25" style="23" customWidth="1"/>
    <col min="16" max="16" width="18.875" style="31" customWidth="1"/>
    <col min="17" max="17" width="12.25" style="4" customWidth="1"/>
    <col min="18" max="20" width="10.75" style="4" customWidth="1"/>
    <col min="21" max="21" width="21.375" style="22" customWidth="1"/>
    <col min="22" max="22" width="14.625" style="31" customWidth="1"/>
    <col min="23" max="23" width="15.75" style="31" customWidth="1"/>
    <col min="24" max="24" width="2.25" style="95" customWidth="1"/>
    <col min="25" max="16384" width="8.75" style="1"/>
  </cols>
  <sheetData>
    <row r="1" spans="1:24" ht="124.9" customHeight="1" thickBot="1">
      <c r="B1" s="7"/>
      <c r="C1" s="208" t="s">
        <v>0</v>
      </c>
      <c r="D1" s="208"/>
      <c r="E1" s="208"/>
      <c r="F1" s="208"/>
      <c r="G1" s="208"/>
      <c r="H1" s="208"/>
      <c r="I1" s="208"/>
      <c r="J1" s="208"/>
      <c r="K1" s="208"/>
      <c r="L1" s="208"/>
      <c r="M1" s="208"/>
      <c r="N1" s="208"/>
      <c r="O1" s="208"/>
      <c r="P1" s="208"/>
      <c r="Q1" s="208"/>
      <c r="R1" s="208"/>
      <c r="S1" s="208"/>
      <c r="T1" s="208"/>
      <c r="U1" s="73"/>
      <c r="V1" s="32"/>
      <c r="W1" s="32"/>
    </row>
    <row r="2" spans="1:24" ht="30" customHeight="1" thickTop="1" thickBot="1">
      <c r="B2" s="7"/>
      <c r="C2" s="8"/>
      <c r="D2" s="8"/>
      <c r="E2" s="8"/>
      <c r="F2" s="8"/>
      <c r="G2" s="8"/>
      <c r="H2" s="8"/>
      <c r="I2" s="8"/>
      <c r="J2" s="8"/>
      <c r="K2" s="8"/>
      <c r="L2" s="25"/>
      <c r="M2" s="25"/>
      <c r="N2" s="25"/>
      <c r="O2" s="20"/>
      <c r="P2" s="25"/>
      <c r="Q2" s="8"/>
      <c r="R2" s="8"/>
      <c r="S2" s="8"/>
      <c r="T2" s="8"/>
      <c r="U2" s="73"/>
      <c r="V2" s="32"/>
      <c r="W2" s="32"/>
    </row>
    <row r="3" spans="1:24" s="3" customFormat="1" ht="49.9" customHeight="1">
      <c r="A3" s="117"/>
      <c r="B3" s="9" t="s">
        <v>1</v>
      </c>
      <c r="C3" s="134" t="s">
        <v>2</v>
      </c>
      <c r="D3" s="135" t="s">
        <v>3</v>
      </c>
      <c r="E3" s="10" t="s">
        <v>4</v>
      </c>
      <c r="F3" s="10" t="s">
        <v>5</v>
      </c>
      <c r="G3" s="10" t="s">
        <v>6</v>
      </c>
      <c r="H3" s="10" t="s">
        <v>7</v>
      </c>
      <c r="I3" s="10" t="s">
        <v>8</v>
      </c>
      <c r="J3" s="10" t="s">
        <v>9</v>
      </c>
      <c r="K3" s="10" t="s">
        <v>10</v>
      </c>
      <c r="L3" s="26" t="s">
        <v>11</v>
      </c>
      <c r="M3" s="27" t="s">
        <v>12</v>
      </c>
      <c r="N3" s="153" t="s">
        <v>13</v>
      </c>
      <c r="O3" s="21" t="s">
        <v>10</v>
      </c>
      <c r="P3" s="49" t="s">
        <v>14</v>
      </c>
      <c r="Q3" s="10" t="s">
        <v>15</v>
      </c>
      <c r="R3" s="10" t="s">
        <v>16</v>
      </c>
      <c r="S3" s="10" t="s">
        <v>17</v>
      </c>
      <c r="T3" s="10" t="s">
        <v>18</v>
      </c>
      <c r="U3" s="74" t="s">
        <v>10</v>
      </c>
      <c r="V3" s="35" t="s">
        <v>19</v>
      </c>
      <c r="W3" s="33" t="s">
        <v>20</v>
      </c>
      <c r="X3" s="96"/>
    </row>
    <row r="4" spans="1:24" s="12" customFormat="1" ht="48.6" customHeight="1">
      <c r="A4" s="118"/>
      <c r="B4" s="11" t="s">
        <v>55</v>
      </c>
      <c r="C4" s="136"/>
      <c r="D4" s="137" t="s">
        <v>22</v>
      </c>
      <c r="E4" s="133">
        <f>SUM(E5:E10)</f>
        <v>0</v>
      </c>
      <c r="F4" s="133">
        <f>SUM(F5:F10)</f>
        <v>140</v>
      </c>
      <c r="G4" s="133">
        <f>SUM(G5:G10)</f>
        <v>400</v>
      </c>
      <c r="H4" s="133">
        <f>SUM(H5:H10)</f>
        <v>450</v>
      </c>
      <c r="I4" s="133">
        <f>SUM(I5:I10)</f>
        <v>0</v>
      </c>
      <c r="J4" s="54">
        <f>SUM(J5:J11)</f>
        <v>990</v>
      </c>
      <c r="K4" s="15" t="s">
        <v>23</v>
      </c>
      <c r="L4" s="28">
        <f>SUM(L6:L10)</f>
        <v>0</v>
      </c>
      <c r="M4" s="132">
        <f>SUM(M6:M10)</f>
        <v>0</v>
      </c>
      <c r="N4" s="132">
        <f>SUM(N6:N10)</f>
        <v>0</v>
      </c>
      <c r="O4" s="55"/>
      <c r="P4" s="53">
        <f>SUM(P5:P11)</f>
        <v>0</v>
      </c>
      <c r="Q4" s="131">
        <f>SUM(Q6:Q11)</f>
        <v>680</v>
      </c>
      <c r="R4" s="131">
        <f>SUM(R6:R10)</f>
        <v>0</v>
      </c>
      <c r="S4" s="131">
        <f>SUM(S6:S10)</f>
        <v>0</v>
      </c>
      <c r="T4" s="131">
        <f>SUM(T6:T10)</f>
        <v>0</v>
      </c>
      <c r="U4" s="55"/>
      <c r="V4" s="54">
        <f>SUM(V5:V11)</f>
        <v>680</v>
      </c>
      <c r="W4" s="28">
        <f>P4+J4+V4</f>
        <v>1670</v>
      </c>
      <c r="X4" s="97"/>
    </row>
    <row r="5" spans="1:24" s="13" customFormat="1" ht="48.6" customHeight="1">
      <c r="A5" s="118" t="s">
        <v>24</v>
      </c>
      <c r="B5"/>
      <c r="C5" s="138"/>
      <c r="D5" s="139"/>
      <c r="E5"/>
      <c r="F5"/>
      <c r="G5"/>
      <c r="H5"/>
      <c r="I5"/>
      <c r="J5"/>
      <c r="K5" s="16"/>
      <c r="L5" s="29"/>
      <c r="M5" s="30"/>
      <c r="N5" s="154"/>
      <c r="O5" s="16"/>
      <c r="P5" s="50"/>
      <c r="Q5"/>
      <c r="R5"/>
      <c r="S5"/>
      <c r="T5"/>
      <c r="U5" s="75"/>
      <c r="V5" s="19"/>
      <c r="W5" s="104"/>
      <c r="X5" s="98"/>
    </row>
    <row r="6" spans="1:24" s="174" customFormat="1" ht="114.6" customHeight="1">
      <c r="A6" s="160"/>
      <c r="B6" s="161" t="s">
        <v>26</v>
      </c>
      <c r="C6" s="162">
        <v>450</v>
      </c>
      <c r="D6" s="163" t="s">
        <v>27</v>
      </c>
      <c r="E6" s="164">
        <v>0</v>
      </c>
      <c r="F6" s="164">
        <v>0</v>
      </c>
      <c r="G6" s="164">
        <v>0</v>
      </c>
      <c r="H6" s="164">
        <f>+$C$6</f>
        <v>450</v>
      </c>
      <c r="I6" s="164">
        <v>0</v>
      </c>
      <c r="J6" s="164">
        <f>SUM(E6:I6)</f>
        <v>450</v>
      </c>
      <c r="K6" s="165" t="s">
        <v>28</v>
      </c>
      <c r="L6" s="166">
        <v>0</v>
      </c>
      <c r="M6" s="164">
        <v>0</v>
      </c>
      <c r="N6" s="167">
        <v>0</v>
      </c>
      <c r="O6" s="168" t="s">
        <v>29</v>
      </c>
      <c r="P6" s="169" t="s">
        <v>30</v>
      </c>
      <c r="Q6" s="164">
        <v>0</v>
      </c>
      <c r="R6" s="164">
        <v>0</v>
      </c>
      <c r="S6" s="164">
        <v>0</v>
      </c>
      <c r="T6" s="164">
        <v>0</v>
      </c>
      <c r="U6" s="170" t="s">
        <v>31</v>
      </c>
      <c r="V6" s="171" t="s">
        <v>30</v>
      </c>
      <c r="W6" s="172"/>
      <c r="X6" s="173"/>
    </row>
    <row r="7" spans="1:24" s="38" customFormat="1" ht="112.15" customHeight="1">
      <c r="A7" s="120"/>
      <c r="B7" s="5" t="s">
        <v>56</v>
      </c>
      <c r="C7" s="142">
        <v>400</v>
      </c>
      <c r="D7" s="143" t="s">
        <v>33</v>
      </c>
      <c r="E7" s="130">
        <v>0</v>
      </c>
      <c r="F7" s="130">
        <v>0</v>
      </c>
      <c r="G7" s="130">
        <f>400</f>
        <v>400</v>
      </c>
      <c r="H7" s="130">
        <v>0</v>
      </c>
      <c r="I7" s="130">
        <v>0</v>
      </c>
      <c r="J7" s="130">
        <f t="shared" ref="J7:J8" si="0">SUM(E7:I7)</f>
        <v>400</v>
      </c>
      <c r="K7" s="36" t="s">
        <v>57</v>
      </c>
      <c r="L7" s="157">
        <v>0</v>
      </c>
      <c r="M7" s="130">
        <v>0</v>
      </c>
      <c r="N7" s="158">
        <v>0</v>
      </c>
      <c r="O7" s="176" t="s">
        <v>30</v>
      </c>
      <c r="P7" s="52" t="s">
        <v>30</v>
      </c>
      <c r="Q7" s="130">
        <v>400</v>
      </c>
      <c r="R7" s="130">
        <v>0</v>
      </c>
      <c r="S7" s="130">
        <v>0</v>
      </c>
      <c r="T7" s="130">
        <v>0</v>
      </c>
      <c r="U7" s="77" t="s">
        <v>58</v>
      </c>
      <c r="V7" s="175">
        <f>SUM(Q7:T7)</f>
        <v>400</v>
      </c>
      <c r="W7" s="37"/>
      <c r="X7" s="100"/>
    </row>
    <row r="8" spans="1:24" s="87" customFormat="1" ht="111.6" customHeight="1">
      <c r="A8" s="121"/>
      <c r="B8" s="78" t="s">
        <v>35</v>
      </c>
      <c r="C8" s="144">
        <v>14</v>
      </c>
      <c r="D8" s="145" t="s">
        <v>36</v>
      </c>
      <c r="E8" s="159">
        <v>0</v>
      </c>
      <c r="F8" s="79">
        <f t="shared" ref="F8" si="1">$C$8*10</f>
        <v>140</v>
      </c>
      <c r="G8" s="79" t="s">
        <v>37</v>
      </c>
      <c r="H8" s="79" t="s">
        <v>37</v>
      </c>
      <c r="I8" s="79" t="s">
        <v>37</v>
      </c>
      <c r="J8" s="79">
        <f t="shared" si="0"/>
        <v>140</v>
      </c>
      <c r="K8" s="80" t="s">
        <v>38</v>
      </c>
      <c r="L8" s="81">
        <v>0</v>
      </c>
      <c r="M8" s="79" t="s">
        <v>37</v>
      </c>
      <c r="N8" s="88" t="s">
        <v>37</v>
      </c>
      <c r="O8" s="82" t="s">
        <v>39</v>
      </c>
      <c r="P8" s="83">
        <f t="shared" ref="P8" si="2">SUM(L8:N8)</f>
        <v>0</v>
      </c>
      <c r="Q8" s="84">
        <v>140</v>
      </c>
      <c r="R8" s="84" t="s">
        <v>37</v>
      </c>
      <c r="S8" s="84" t="s">
        <v>37</v>
      </c>
      <c r="T8" s="84" t="s">
        <v>37</v>
      </c>
      <c r="U8" s="82" t="s">
        <v>40</v>
      </c>
      <c r="V8" s="85">
        <f t="shared" ref="V8" si="3">SUM(Q8:T8)</f>
        <v>140</v>
      </c>
      <c r="W8" s="86"/>
      <c r="X8" s="101"/>
    </row>
    <row r="9" spans="1:24" s="87" customFormat="1" ht="111.6" customHeight="1">
      <c r="A9" s="121"/>
      <c r="B9" s="78" t="s">
        <v>41</v>
      </c>
      <c r="C9" s="144" t="s">
        <v>30</v>
      </c>
      <c r="D9" s="145" t="s">
        <v>42</v>
      </c>
      <c r="E9" s="79" t="s">
        <v>37</v>
      </c>
      <c r="F9" s="79" t="s">
        <v>37</v>
      </c>
      <c r="G9" s="79" t="s">
        <v>37</v>
      </c>
      <c r="H9" s="79" t="s">
        <v>37</v>
      </c>
      <c r="I9" s="79" t="s">
        <v>37</v>
      </c>
      <c r="J9" s="79" t="s">
        <v>30</v>
      </c>
      <c r="K9" s="80" t="s">
        <v>43</v>
      </c>
      <c r="L9" s="81" t="str">
        <f>E9</f>
        <v>Free</v>
      </c>
      <c r="M9" s="88" t="str">
        <f t="shared" ref="M9:N9" si="4">F9</f>
        <v>Free</v>
      </c>
      <c r="N9" s="88" t="str">
        <f t="shared" si="4"/>
        <v>Free</v>
      </c>
      <c r="O9" s="82" t="s">
        <v>44</v>
      </c>
      <c r="P9" s="83" t="s">
        <v>30</v>
      </c>
      <c r="Q9" s="84" t="s">
        <v>37</v>
      </c>
      <c r="R9" s="84" t="s">
        <v>37</v>
      </c>
      <c r="S9" s="84" t="s">
        <v>37</v>
      </c>
      <c r="T9" s="84" t="s">
        <v>37</v>
      </c>
      <c r="U9" s="82" t="s">
        <v>44</v>
      </c>
      <c r="V9" s="85" t="s">
        <v>30</v>
      </c>
      <c r="W9" s="86"/>
      <c r="X9" s="101"/>
    </row>
    <row r="10" spans="1:24" s="87" customFormat="1" ht="111.6" customHeight="1" thickBot="1">
      <c r="A10" s="121"/>
      <c r="B10" s="89" t="s">
        <v>45</v>
      </c>
      <c r="C10" s="146" t="s">
        <v>30</v>
      </c>
      <c r="D10" s="147" t="s">
        <v>46</v>
      </c>
      <c r="E10" s="90" t="s">
        <v>37</v>
      </c>
      <c r="F10" s="90" t="s">
        <v>37</v>
      </c>
      <c r="G10" s="90" t="s">
        <v>37</v>
      </c>
      <c r="H10" s="90" t="s">
        <v>37</v>
      </c>
      <c r="I10" s="90" t="s">
        <v>37</v>
      </c>
      <c r="J10" s="90" t="s">
        <v>37</v>
      </c>
      <c r="K10" s="91" t="s">
        <v>47</v>
      </c>
      <c r="L10" s="92" t="s">
        <v>37</v>
      </c>
      <c r="M10" s="92" t="s">
        <v>37</v>
      </c>
      <c r="N10" s="88" t="s">
        <v>37</v>
      </c>
      <c r="O10" s="177" t="s">
        <v>30</v>
      </c>
      <c r="P10" s="83" t="s">
        <v>30</v>
      </c>
      <c r="Q10" s="93" t="s">
        <v>37</v>
      </c>
      <c r="R10" s="93" t="s">
        <v>37</v>
      </c>
      <c r="S10" s="93" t="s">
        <v>37</v>
      </c>
      <c r="T10" s="93" t="s">
        <v>37</v>
      </c>
      <c r="U10" s="82" t="s">
        <v>48</v>
      </c>
      <c r="V10" s="179">
        <f t="shared" ref="V10:V11" si="5">SUM(Q10:T10)</f>
        <v>0</v>
      </c>
      <c r="W10" s="81"/>
      <c r="X10" s="101"/>
    </row>
    <row r="11" spans="1:24" s="41" customFormat="1" ht="111.6" customHeight="1" thickTop="1" thickBot="1">
      <c r="A11" s="122"/>
      <c r="B11" s="42" t="s">
        <v>59</v>
      </c>
      <c r="C11" s="148">
        <v>140</v>
      </c>
      <c r="D11" s="149" t="s">
        <v>33</v>
      </c>
      <c r="E11" s="43">
        <v>0</v>
      </c>
      <c r="F11" s="43">
        <v>0</v>
      </c>
      <c r="G11" s="43">
        <v>0</v>
      </c>
      <c r="H11" s="43">
        <v>0</v>
      </c>
      <c r="I11" s="43">
        <v>0</v>
      </c>
      <c r="J11" s="129">
        <f>SUM(E11:I11)</f>
        <v>0</v>
      </c>
      <c r="K11" s="45" t="s">
        <v>50</v>
      </c>
      <c r="L11" s="125">
        <v>0</v>
      </c>
      <c r="M11" s="126">
        <v>0</v>
      </c>
      <c r="N11" s="155">
        <v>0</v>
      </c>
      <c r="O11" s="178" t="s">
        <v>30</v>
      </c>
      <c r="P11" s="51" t="s">
        <v>30</v>
      </c>
      <c r="Q11" s="44">
        <v>140</v>
      </c>
      <c r="R11" s="126">
        <v>0</v>
      </c>
      <c r="S11" s="126">
        <v>0</v>
      </c>
      <c r="T11" s="126">
        <v>0</v>
      </c>
      <c r="U11" s="45" t="s">
        <v>51</v>
      </c>
      <c r="V11" s="39">
        <f t="shared" si="5"/>
        <v>140</v>
      </c>
      <c r="W11" s="46"/>
      <c r="X11" s="102"/>
    </row>
    <row r="12" spans="1:24" ht="19.5" customHeight="1" thickTop="1">
      <c r="K12" s="18"/>
    </row>
    <row r="13" spans="1:24" ht="19.5" customHeight="1">
      <c r="K13" s="18"/>
    </row>
    <row r="14" spans="1:24" ht="19.5" customHeight="1">
      <c r="K14" s="18"/>
    </row>
    <row r="15" spans="1:24" ht="19.5" customHeight="1">
      <c r="K15" s="14"/>
    </row>
  </sheetData>
  <mergeCells count="1">
    <mergeCell ref="C1:T1"/>
  </mergeCells>
  <dataValidations count="3">
    <dataValidation allowBlank="1" showInputMessage="1" showErrorMessage="1" prompt="Anticipated Sales Total label is in cell at right. Enter Anticipated Sales for each month in cells D3 through O3. Total is auto calculated in cell Q3." sqref="A4" xr:uid="{1191B8CA-9D23-47F4-90C9-3DCD0027148B}"/>
    <dataValidation allowBlank="1" showInputMessage="1" showErrorMessage="1" prompt="Create Channel Marketing Budget in this worksheet. Title of this worksheet is in cell C1. Helpful instructions are in cells in this column. Arrow down to get started. " sqref="A1" xr:uid="{219C2D75-7BF1-4549-A7F4-2D783B462E54}"/>
    <dataValidation allowBlank="1" showInputMessage="1" showErrorMessage="1" prompt="Rate and Months labels are in this row, from cells C3 through O3, and Total label in cell Q3." sqref="A3" xr:uid="{1A9A623B-EF58-4DE7-913B-6DFA59947F86}"/>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C790-7EF0-4FBE-87C6-034A1BB5067D}">
  <dimension ref="B1:I19"/>
  <sheetViews>
    <sheetView tabSelected="1" workbookViewId="0">
      <selection activeCell="D9" sqref="D9"/>
    </sheetView>
  </sheetViews>
  <sheetFormatPr defaultColWidth="8.75" defaultRowHeight="30" customHeight="1"/>
  <cols>
    <col min="1" max="1" width="23.625" style="57" customWidth="1"/>
    <col min="2" max="2" width="7.25" style="57" customWidth="1"/>
    <col min="3" max="3" width="36.25" style="57" customWidth="1"/>
    <col min="4" max="4" width="25" style="57" customWidth="1"/>
    <col min="5" max="5" width="12.625" style="57" customWidth="1"/>
    <col min="6" max="6" width="9.75" style="57" customWidth="1"/>
    <col min="7" max="7" width="25.75" style="57" customWidth="1"/>
    <col min="8" max="8" width="44.625" style="57" customWidth="1"/>
    <col min="9" max="9" width="11" style="57" customWidth="1"/>
    <col min="10" max="16384" width="8.75" style="57"/>
  </cols>
  <sheetData>
    <row r="1" spans="2:9" ht="19.149999999999999" thickTop="1">
      <c r="B1" s="209" t="s">
        <v>60</v>
      </c>
      <c r="C1" s="210"/>
      <c r="D1" s="211"/>
      <c r="E1" s="215" t="s">
        <v>61</v>
      </c>
      <c r="F1" s="216"/>
      <c r="G1" s="216"/>
      <c r="H1" s="217"/>
      <c r="I1" s="56"/>
    </row>
    <row r="2" spans="2:9" ht="13.9">
      <c r="B2" s="212"/>
      <c r="C2" s="213"/>
      <c r="D2" s="214"/>
      <c r="E2" s="218" t="s">
        <v>62</v>
      </c>
      <c r="F2" s="218"/>
      <c r="G2" s="218"/>
      <c r="H2" s="219"/>
      <c r="I2" s="56"/>
    </row>
    <row r="3" spans="2:9" ht="18.600000000000001">
      <c r="B3" s="222" t="s">
        <v>63</v>
      </c>
      <c r="C3" s="223"/>
      <c r="D3" s="58" t="s">
        <v>64</v>
      </c>
      <c r="E3" s="218"/>
      <c r="F3" s="218"/>
      <c r="G3" s="218"/>
      <c r="H3" s="219"/>
      <c r="I3" s="56"/>
    </row>
    <row r="4" spans="2:9" ht="18.600000000000001">
      <c r="B4" s="224" t="s">
        <v>65</v>
      </c>
      <c r="C4" s="218"/>
      <c r="D4" s="59" t="s">
        <v>66</v>
      </c>
      <c r="E4" s="218"/>
      <c r="F4" s="218"/>
      <c r="G4" s="218"/>
      <c r="H4" s="219"/>
      <c r="I4" s="56"/>
    </row>
    <row r="5" spans="2:9" ht="18.600000000000001">
      <c r="B5" s="224"/>
      <c r="C5" s="218"/>
      <c r="D5" s="59"/>
      <c r="E5" s="218"/>
      <c r="F5" s="218"/>
      <c r="G5" s="218"/>
      <c r="H5" s="219"/>
      <c r="I5" s="56"/>
    </row>
    <row r="6" spans="2:9" ht="15.6" thickBot="1">
      <c r="B6" s="225"/>
      <c r="C6" s="226"/>
      <c r="D6" s="60"/>
      <c r="E6" s="220"/>
      <c r="F6" s="220"/>
      <c r="G6" s="220"/>
      <c r="H6" s="221"/>
      <c r="I6" s="56"/>
    </row>
    <row r="7" spans="2:9" ht="14.45" thickTop="1"/>
    <row r="8" spans="2:9" ht="18.600000000000001">
      <c r="B8" s="61" t="s">
        <v>67</v>
      </c>
      <c r="C8" s="62" t="s">
        <v>68</v>
      </c>
      <c r="D8" s="61" t="s">
        <v>69</v>
      </c>
      <c r="E8" s="62" t="s">
        <v>70</v>
      </c>
      <c r="F8" s="62" t="s">
        <v>71</v>
      </c>
      <c r="G8" s="62" t="s">
        <v>72</v>
      </c>
      <c r="H8" s="61" t="s">
        <v>10</v>
      </c>
      <c r="I8" s="61" t="s">
        <v>73</v>
      </c>
    </row>
    <row r="9" spans="2:9" ht="165">
      <c r="B9" s="63">
        <v>1</v>
      </c>
      <c r="C9" s="64" t="s">
        <v>74</v>
      </c>
      <c r="D9" s="16" t="s">
        <v>75</v>
      </c>
      <c r="E9" s="64" t="s">
        <v>76</v>
      </c>
      <c r="F9" s="64" t="s">
        <v>77</v>
      </c>
      <c r="G9" s="64" t="s">
        <v>78</v>
      </c>
      <c r="H9" s="16" t="s">
        <v>79</v>
      </c>
      <c r="I9" s="16" t="s">
        <v>80</v>
      </c>
    </row>
    <row r="10" spans="2:9" ht="41.45">
      <c r="B10" s="63">
        <v>2</v>
      </c>
      <c r="C10" s="64" t="s">
        <v>81</v>
      </c>
      <c r="D10" s="16" t="s">
        <v>82</v>
      </c>
      <c r="E10" s="64" t="s">
        <v>76</v>
      </c>
      <c r="F10" s="64" t="s">
        <v>83</v>
      </c>
      <c r="G10" s="65" t="s">
        <v>84</v>
      </c>
      <c r="H10" s="16" t="s">
        <v>85</v>
      </c>
      <c r="I10" s="16" t="s">
        <v>80</v>
      </c>
    </row>
    <row r="11" spans="2:9" ht="278.45">
      <c r="B11" s="63">
        <v>3</v>
      </c>
      <c r="C11" s="64" t="s">
        <v>86</v>
      </c>
      <c r="D11" s="16" t="s">
        <v>87</v>
      </c>
      <c r="E11" s="64" t="s">
        <v>76</v>
      </c>
      <c r="F11" s="66" t="s">
        <v>88</v>
      </c>
      <c r="G11" s="65" t="s">
        <v>89</v>
      </c>
      <c r="H11" s="16" t="s">
        <v>90</v>
      </c>
      <c r="I11" s="16" t="s">
        <v>80</v>
      </c>
    </row>
    <row r="12" spans="2:9" ht="235.9">
      <c r="B12" s="63">
        <v>4</v>
      </c>
      <c r="C12" s="64" t="s">
        <v>91</v>
      </c>
      <c r="D12" s="16" t="s">
        <v>87</v>
      </c>
      <c r="E12" s="64" t="s">
        <v>76</v>
      </c>
      <c r="F12" s="66" t="s">
        <v>88</v>
      </c>
      <c r="G12" s="65" t="s">
        <v>89</v>
      </c>
      <c r="H12" s="16" t="s">
        <v>92</v>
      </c>
      <c r="I12" s="16" t="s">
        <v>80</v>
      </c>
    </row>
    <row r="13" spans="2:9" ht="69">
      <c r="B13" s="63">
        <v>5</v>
      </c>
      <c r="C13" s="64" t="s">
        <v>93</v>
      </c>
      <c r="D13" s="16" t="s">
        <v>94</v>
      </c>
      <c r="E13" s="64" t="s">
        <v>76</v>
      </c>
      <c r="F13" s="66" t="s">
        <v>88</v>
      </c>
      <c r="G13" s="64" t="s">
        <v>89</v>
      </c>
      <c r="H13" s="16" t="s">
        <v>95</v>
      </c>
      <c r="I13" s="16" t="s">
        <v>80</v>
      </c>
    </row>
    <row r="14" spans="2:9" ht="82.9">
      <c r="B14" s="63">
        <v>6</v>
      </c>
      <c r="C14" s="64" t="s">
        <v>96</v>
      </c>
      <c r="D14" s="67" t="s">
        <v>97</v>
      </c>
      <c r="E14" s="68" t="s">
        <v>76</v>
      </c>
      <c r="F14" s="68" t="s">
        <v>77</v>
      </c>
      <c r="G14" s="68" t="s">
        <v>98</v>
      </c>
      <c r="H14" s="16" t="s">
        <v>99</v>
      </c>
      <c r="I14" s="16" t="s">
        <v>80</v>
      </c>
    </row>
    <row r="15" spans="2:9" ht="234.6">
      <c r="B15" s="63">
        <v>7</v>
      </c>
      <c r="C15" s="64" t="s">
        <v>100</v>
      </c>
      <c r="D15" s="69" t="s">
        <v>101</v>
      </c>
      <c r="E15" s="70" t="s">
        <v>76</v>
      </c>
      <c r="F15" s="71" t="s">
        <v>102</v>
      </c>
      <c r="G15" s="70" t="s">
        <v>103</v>
      </c>
      <c r="H15" s="16" t="s">
        <v>104</v>
      </c>
      <c r="I15" s="16" t="s">
        <v>80</v>
      </c>
    </row>
    <row r="16" spans="2:9" ht="27.6">
      <c r="B16" s="63"/>
      <c r="C16" s="64" t="s">
        <v>105</v>
      </c>
      <c r="D16" s="67" t="s">
        <v>106</v>
      </c>
      <c r="E16" s="68" t="s">
        <v>76</v>
      </c>
      <c r="F16" s="68" t="s">
        <v>77</v>
      </c>
      <c r="G16" s="68" t="s">
        <v>30</v>
      </c>
      <c r="H16" s="67" t="s">
        <v>107</v>
      </c>
      <c r="I16" s="67" t="s">
        <v>80</v>
      </c>
    </row>
    <row r="17" spans="2:9" ht="41.45">
      <c r="B17" s="63">
        <v>8</v>
      </c>
      <c r="C17" s="64" t="s">
        <v>108</v>
      </c>
      <c r="D17" s="69" t="s">
        <v>109</v>
      </c>
      <c r="E17" s="70" t="s">
        <v>76</v>
      </c>
      <c r="F17" s="70" t="s">
        <v>77</v>
      </c>
      <c r="G17" s="72" t="s">
        <v>110</v>
      </c>
      <c r="H17" s="69" t="s">
        <v>30</v>
      </c>
      <c r="I17" s="69" t="s">
        <v>80</v>
      </c>
    </row>
    <row r="18" spans="2:9" ht="69">
      <c r="B18" s="63">
        <v>9</v>
      </c>
      <c r="C18" s="64" t="s">
        <v>111</v>
      </c>
      <c r="D18" s="67" t="s">
        <v>112</v>
      </c>
      <c r="E18" s="68"/>
      <c r="F18" s="68" t="s">
        <v>77</v>
      </c>
      <c r="G18" s="68" t="s">
        <v>113</v>
      </c>
      <c r="H18" s="67" t="s">
        <v>114</v>
      </c>
      <c r="I18" s="67" t="s">
        <v>80</v>
      </c>
    </row>
    <row r="19" spans="2:9" ht="82.9">
      <c r="B19" s="63">
        <v>10</v>
      </c>
      <c r="C19" s="64" t="s">
        <v>115</v>
      </c>
      <c r="D19" s="69" t="s">
        <v>116</v>
      </c>
      <c r="E19" s="70"/>
      <c r="F19" s="70" t="s">
        <v>77</v>
      </c>
      <c r="G19" s="70" t="s">
        <v>30</v>
      </c>
      <c r="H19" s="69" t="s">
        <v>117</v>
      </c>
      <c r="I19" s="69" t="s">
        <v>80</v>
      </c>
    </row>
  </sheetData>
  <mergeCells count="5">
    <mergeCell ref="B1:D2"/>
    <mergeCell ref="E1:H1"/>
    <mergeCell ref="E2:H6"/>
    <mergeCell ref="B3:C3"/>
    <mergeCell ref="B4:C6"/>
  </mergeCells>
  <conditionalFormatting sqref="F8:F19">
    <cfRule type="iconSet" priority="4">
      <iconSet>
        <cfvo type="percent" val="0"/>
        <cfvo type="percent" val="33"/>
        <cfvo type="percent" val="67"/>
      </iconSet>
    </cfRule>
  </conditionalFormatting>
  <conditionalFormatting sqref="F15:F19">
    <cfRule type="expression" dxfId="19" priority="1">
      <formula>$F15="complete"</formula>
    </cfRule>
    <cfRule type="expression" dxfId="18" priority="2">
      <formula>$F15="not started"</formula>
    </cfRule>
  </conditionalFormatting>
  <conditionalFormatting sqref="F9:G14">
    <cfRule type="expression" dxfId="17" priority="5">
      <formula>$F9="complete"</formula>
    </cfRule>
    <cfRule type="expression" dxfId="16" priority="6">
      <formula>$F9="not started"</formula>
    </cfRule>
  </conditionalFormatting>
  <conditionalFormatting sqref="H11:H12">
    <cfRule type="duplicateValues" dxfId="15" priority="3"/>
  </conditionalFormatting>
  <dataValidations count="13">
    <dataValidation allowBlank="1" showInputMessage="1" showErrorMessage="1" prompt="Create an Idea Planner in this worksheet. Title is in this cell. Enter Goal in cell E2, Objective in cell A4, Project Due Date in cell D4, and details in Steps, Tasks and ResourceList table" sqref="B1:D2" xr:uid="{0EA88852-ED6A-41A2-BAB6-FFBCA5ABA5E3}"/>
    <dataValidation allowBlank="1" showInputMessage="1" showErrorMessage="1" prompt="Enter Resource List in this column under this heading. Use heading filters to find specific entries" sqref="H8" xr:uid="{4A40988B-1EFE-4534-BB9A-FC4A916AD8DA}"/>
    <dataValidation allowBlank="1" showInputMessage="1" showErrorMessage="1" prompt="Enter Status in this column under this heading and create a list of resources in Resource List table at right" sqref="F8:G8" xr:uid="{4CBE8807-BE2D-4B48-A33C-AEE1A7790FC1}"/>
    <dataValidation allowBlank="1" showInputMessage="1" showErrorMessage="1" prompt="Enter Assigned to name in this column under this heading" sqref="E8" xr:uid="{121180D8-EE4F-47CA-9589-703769C064FC}"/>
    <dataValidation allowBlank="1" showInputMessage="1" showErrorMessage="1" prompt="Enter Tasks in this column under this heading. Use heading filters to find specific entries" sqref="D8" xr:uid="{CB0ACFC8-CE4F-46BF-965D-EF870DCF3364}"/>
    <dataValidation allowBlank="1" showInputMessage="1" showErrorMessage="1" prompt="Enter Description in this column under this heading and task details in Tasks table at right" sqref="C8" xr:uid="{ADE87F3D-FEC8-4ACE-9D5A-4F359605A599}"/>
    <dataValidation allowBlank="1" showInputMessage="1" showErrorMessage="1" prompt="Enter Steps in this column under this heading. Use heading filters to find specific entries" sqref="B8" xr:uid="{1026BE45-9268-4E04-837A-63F4CF5177D4}"/>
    <dataValidation allowBlank="1" showInputMessage="1" showErrorMessage="1" prompt="Enter Project Due Date in this cell" sqref="D4" xr:uid="{7F9E1E8F-7515-47AF-B907-9995B658084A}"/>
    <dataValidation allowBlank="1" showInputMessage="1" showErrorMessage="1" prompt="Enter Project Due Date in cell below" sqref="D3" xr:uid="{1DA957EC-4BF4-49C5-BE89-80746326E46D}"/>
    <dataValidation allowBlank="1" showInputMessage="1" showErrorMessage="1" prompt="Enter Objective in this cell" sqref="B4" xr:uid="{A43066A4-6B08-47D5-A601-1E48961642CC}"/>
    <dataValidation allowBlank="1" showInputMessage="1" showErrorMessage="1" prompt="Enter Objective in cell below" sqref="B3" xr:uid="{9558648B-1EFF-4EA7-A4F6-0FD78572650F}"/>
    <dataValidation allowBlank="1" showInputMessage="1" showErrorMessage="1" prompt="Enter Goal in this cell. Enter details in tables starting in cell A8" sqref="E2:H6" xr:uid="{5478C65E-98A8-4389-8E30-01A464FA7A80}"/>
    <dataValidation allowBlank="1" showInputMessage="1" showErrorMessage="1" prompt="Enter Goal in cell below" sqref="E1:H1" xr:uid="{AE8BDCAF-44F4-473F-BE5D-6BABAEB38C99}"/>
  </dataValidations>
  <hyperlinks>
    <hyperlink ref="G10" r:id="rId1" location="!ct/8943,78743,78744,78745?s/" xr:uid="{0B05AADA-76C4-4D00-A7FD-88581AD49B84}"/>
    <hyperlink ref="G11" r:id="rId2" xr:uid="{D236D30C-ADE5-4AC9-ABAA-F7B8EE8BD813}"/>
    <hyperlink ref="G12" r:id="rId3" xr:uid="{0A0DC657-E81A-4B3A-A412-66A5FC94DFF3}"/>
  </hyperlinks>
  <pageMargins left="0.7" right="0.7" top="0.75" bottom="0.75" header="0.3" footer="0.3"/>
  <drawing r:id="rId4"/>
  <tableParts count="3">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20022-19EC-4088-9036-3EF701914448}"/>
</file>

<file path=customXml/itemProps2.xml><?xml version="1.0" encoding="utf-8"?>
<ds:datastoreItem xmlns:ds="http://schemas.openxmlformats.org/officeDocument/2006/customXml" ds:itemID="{E3FF9091-20DC-404F-B8A8-D81EE9B1682E}"/>
</file>

<file path=customXml/itemProps3.xml><?xml version="1.0" encoding="utf-8"?>
<ds:datastoreItem xmlns:ds="http://schemas.openxmlformats.org/officeDocument/2006/customXml" ds:itemID="{F3F2FFF8-FAC9-423D-A5FA-1BF24BDBCB4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TM78158741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2022-11-14T07:10:30Z</dcterms:created>
  <dcterms:modified xsi:type="dcterms:W3CDTF">2025-09-01T17:53:48Z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