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Channel Detail" sheetId="2" r:id="rId5"/>
    <sheet state="visible" name="Monthly Calendar" sheetId="3" r:id="rId6"/>
    <sheet state="visible" name="ROAS &amp; Impressions" sheetId="4" r:id="rId7"/>
    <sheet state="visible" name="Contacts &amp; Process" sheetId="5" r:id="rId8"/>
  </sheets>
  <definedNames/>
  <calcPr/>
  <extLst>
    <ext uri="GoogleSheetsCustomDataVersion2">
      <go:sheetsCustomData xmlns:go="http://customooxmlschemas.google.com/" r:id="rId9" roundtripDataChecksum="ppfEHdzPDk4jkL/TWWX56h5qyXWkLYK1VngrlWGXGU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ID#AAABzJDS3Xw
Ben Howerton    (2026-01-27 21:17:47)
@ashleywalter@boisestate.edu @reinebissember@boisestate.edu @danielatoledosol@boisestate.edu  
I updated the budget proposal. Let me know if you want to make any changes.</t>
      </text>
    </comment>
  </commentList>
  <extLst>
    <ext uri="GoogleSheetsCustomDataVersion2">
      <go:sheetsCustomData xmlns:go="http://customooxmlschemas.google.com/" r:id="rId1" roundtripDataSignature="AMtx7mh04lnLlM4ZK9MbjhGdhyo0hUIqNw=="/>
    </ext>
  </extLst>
</comments>
</file>

<file path=xl/sharedStrings.xml><?xml version="1.0" encoding="utf-8"?>
<sst xmlns="http://schemas.openxmlformats.org/spreadsheetml/2006/main" count="372" uniqueCount="231">
  <si>
    <t>RHM SPRING 2025 MARKETING PROPOSAL</t>
  </si>
  <si>
    <t>Resort and Hospitality Management Program | College of Business and Economics</t>
  </si>
  <si>
    <t>CAMPAIGN OVERVIEW</t>
  </si>
  <si>
    <t>Proposal Date:</t>
  </si>
  <si>
    <t>January 2025</t>
  </si>
  <si>
    <t>Campaign Duration:</t>
  </si>
  <si>
    <t>January - May 2025</t>
  </si>
  <si>
    <t>Prepared By:</t>
  </si>
  <si>
    <t>Ben Howerton, GA</t>
  </si>
  <si>
    <t>Primary Goal:</t>
  </si>
  <si>
    <t>Recruit current BSU students to RHM</t>
  </si>
  <si>
    <t>Total Budget:</t>
  </si>
  <si>
    <t>Expected Reach:</t>
  </si>
  <si>
    <t>120,000 - 237,000 impressions*</t>
  </si>
  <si>
    <t>Campaign Destination:</t>
  </si>
  <si>
    <t>Certificate Programs Landing Page</t>
  </si>
  <si>
    <t>BUDGET SUMMARY BY CHANNEL</t>
  </si>
  <si>
    <t>Channel Category</t>
  </si>
  <si>
    <t>Cost</t>
  </si>
  <si>
    <t>% of Budget</t>
  </si>
  <si>
    <t>Est. Impressions*</t>
  </si>
  <si>
    <t>CPM</t>
  </si>
  <si>
    <t>Paid Student Media</t>
  </si>
  <si>
    <t>Paid Social (Meta/IG)</t>
  </si>
  <si>
    <t>Paid Print (Shuttle Stops)</t>
  </si>
  <si>
    <t>Free Channels (COBE Internal)</t>
  </si>
  <si>
    <t>-</t>
  </si>
  <si>
    <t>TOTAL</t>
  </si>
  <si>
    <t>*ESTIMATE - Impression numbers are approximations. Yellow-highlighted cells need validation with actual analytics data.</t>
  </si>
  <si>
    <t>KEY CAMPAIGN MILESTONES</t>
  </si>
  <si>
    <t>Month</t>
  </si>
  <si>
    <t>Key Activities</t>
  </si>
  <si>
    <t>February</t>
  </si>
  <si>
    <t>Arbiter Print Ad (Feb 20) | Shuttle Stop Posters Deploy | MBEB Screens Launch</t>
  </si>
  <si>
    <t>March</t>
  </si>
  <si>
    <t>Arbiter Web Banner Live | Tabling Events Begin | Student Events Newsletter Feature</t>
  </si>
  <si>
    <t>April</t>
  </si>
  <si>
    <t>Blueprint Magazine Publication (Apr 24) | Peak Instagram Campaign | Newsletter Feature #2</t>
  </si>
  <si>
    <t>May</t>
  </si>
  <si>
    <t>End of Semester Push | Final Analytics Review | Semester Report</t>
  </si>
  <si>
    <t>SPRING 2025 CHANNEL MARKETING PLAN</t>
  </si>
  <si>
    <t>Channel</t>
  </si>
  <si>
    <t>Type</t>
  </si>
  <si>
    <t>Rate</t>
  </si>
  <si>
    <t>Unit</t>
  </si>
  <si>
    <t>Jan</t>
  </si>
  <si>
    <t>Feb</t>
  </si>
  <si>
    <t>Mar</t>
  </si>
  <si>
    <t>Apr</t>
  </si>
  <si>
    <t>Spring Total</t>
  </si>
  <si>
    <t>Notes/Delivery Details</t>
  </si>
  <si>
    <t>PAID CHANNELS</t>
  </si>
  <si>
    <t>Blueprint Summer Magazine</t>
  </si>
  <si>
    <t>Print</t>
  </si>
  <si>
    <t>per/Period</t>
  </si>
  <si>
    <t>Half-page ad (4.75x11 or 8.5x5.5). Published Apr 24. 3,000 copies distributed at graduation, summer orientation, Fall move-in.</t>
  </si>
  <si>
    <t>Arbiter Web Banner</t>
  </si>
  <si>
    <t>Digital</t>
  </si>
  <si>
    <t>per/Month</t>
  </si>
  <si>
    <t>728x90px Banner. ~20,000 monthly site views. Run in March for peak enrollment season.</t>
  </si>
  <si>
    <t>Arbiter Print Ad</t>
  </si>
  <si>
    <t>per/Issue</t>
  </si>
  <si>
    <t>1/2 page print ad. Feb 20 issue. 2,000 copies distributed on campus + downtown Boise. RHM 10% discount available.</t>
  </si>
  <si>
    <t>Shuttle Stop Posters</t>
  </si>
  <si>
    <t>per/Poster</t>
  </si>
  <si>
    <t>20 posters at $14 each. Target Blue/Orange bus crossover points. Cold weather = high bus ridership.</t>
  </si>
  <si>
    <t>Social Media (Meta/IG)</t>
  </si>
  <si>
    <t>$5/day targeting Boise residents + BSU students. Run in April before semester ends.</t>
  </si>
  <si>
    <t>COBE INTERNAL CHANNELS (FREE) - All requests to cobe-info@boisestate.edu</t>
  </si>
  <si>
    <t>@boisestatecobe Instagram</t>
  </si>
  <si>
    <t>Social</t>
  </si>
  <si>
    <t>per/Post</t>
  </si>
  <si>
    <t>3-4/wk</t>
  </si>
  <si>
    <t>Free</t>
  </si>
  <si>
    <t>Reels outperform static. 10 business day lead time. Submit to cobe-info with graphics (1080x1080 or 1080x1920).</t>
  </si>
  <si>
    <t>@boisestatecobe LinkedIn</t>
  </si>
  <si>
    <t>2-3/wk</t>
  </si>
  <si>
    <t>Professional/employer focus. Tag industry partners. 1920x1080 banners.</t>
  </si>
  <si>
    <t>Student Events Newsletter</t>
  </si>
  <si>
    <t>Email</t>
  </si>
  <si>
    <t>per/Feature</t>
  </si>
  <si>
    <t>✓</t>
  </si>
  <si>
    <t>Feature every few months (avoid tune-out). Vary messaging each time. 10-15 day lead time.</t>
  </si>
  <si>
    <t>Bronco Business News</t>
  </si>
  <si>
    <t>Broader COBE audience. Coordinate with Kate for timing.</t>
  </si>
  <si>
    <t>MBEB Digital Screens</t>
  </si>
  <si>
    <t>per/Screen</t>
  </si>
  <si>
    <t>1920x1080px. Dark background, white text. NO logo overlays (Clean Screen Rule).</t>
  </si>
  <si>
    <t>SUB/Library Screens</t>
  </si>
  <si>
    <t>Campus-wide digital screen network. High traffic locations.</t>
  </si>
  <si>
    <t>Capital BLVD Tabling</t>
  </si>
  <si>
    <t>Event</t>
  </si>
  <si>
    <t>per/Event</t>
  </si>
  <si>
    <t>Weekly tabling on Capitol BLVD + Brady garage sidewalk. High COBE student traffic.</t>
  </si>
  <si>
    <t>Class Visits</t>
  </si>
  <si>
    <t>per/Visit</t>
  </si>
  <si>
    <t>Present in intro-level business courses. QR-coded handouts drive to landing page.</t>
  </si>
  <si>
    <t>Localist Calendar</t>
  </si>
  <si>
    <t>Add events to Boise State Localist. Shows on COBE + university-wide event calendars.</t>
  </si>
  <si>
    <t>TOTAL SPRING BUDGET</t>
  </si>
  <si>
    <t>REQUEST PROCESS</t>
  </si>
  <si>
    <t>Email: cobe-info@boisestate.edu | Subject: PROGRAM REQUEST - [Channel] - [Date Range]</t>
  </si>
  <si>
    <t>Include: Channel(s), target date, copy draft (≤100 words), CTA link, assets with alt text (1080x1080, 1080x1920, or 1920x1080)</t>
  </si>
  <si>
    <t>SPRING 2025 MARKETING CALENDAR</t>
  </si>
  <si>
    <t>Activity</t>
  </si>
  <si>
    <t>January</t>
  </si>
  <si>
    <t xml:space="preserve">Field to Fork Feb 12th </t>
  </si>
  <si>
    <t>Blueprint Magazine</t>
  </si>
  <si>
    <t>Publication (Apr 24)</t>
  </si>
  <si>
    <t>Active</t>
  </si>
  <si>
    <t>Banner Live</t>
  </si>
  <si>
    <t>Arbiter Print</t>
  </si>
  <si>
    <t>Feb 20 Issue</t>
  </si>
  <si>
    <t>Deploy Posters</t>
  </si>
  <si>
    <t>Instagram/Meta Ads</t>
  </si>
  <si>
    <t>$5/day Campaign</t>
  </si>
  <si>
    <t>COBE CHANNELS (@boisestatecobe)</t>
  </si>
  <si>
    <t>Instagram Posts/Reels</t>
  </si>
  <si>
    <t>3-4/week</t>
  </si>
  <si>
    <t>LinkedIn Posts</t>
  </si>
  <si>
    <t>2-3/week</t>
  </si>
  <si>
    <t>Feature #1</t>
  </si>
  <si>
    <t>Feature #2</t>
  </si>
  <si>
    <t>Feature #3</t>
  </si>
  <si>
    <t>Feature</t>
  </si>
  <si>
    <t>MBEB Screens</t>
  </si>
  <si>
    <t>Tabling Events</t>
  </si>
  <si>
    <t>Weekly</t>
  </si>
  <si>
    <t>Intro Classes</t>
  </si>
  <si>
    <t>Add Events</t>
  </si>
  <si>
    <t>LEAD TIME REMINDERS</t>
  </si>
  <si>
    <t>Lead Time</t>
  </si>
  <si>
    <t>Notes</t>
  </si>
  <si>
    <t>Instagram/LinkedIn</t>
  </si>
  <si>
    <t>10 business days</t>
  </si>
  <si>
    <t>Urgent posts require marketing manager approval</t>
  </si>
  <si>
    <t>Email Newsletter</t>
  </si>
  <si>
    <t>10-15 business days</t>
  </si>
  <si>
    <t>Complex newsletters need more time</t>
  </si>
  <si>
    <t>Web Updates</t>
  </si>
  <si>
    <t>Include exact copy, URL, alt text</t>
  </si>
  <si>
    <t>Events/Fairs</t>
  </si>
  <si>
    <t>3-6 weeks</t>
  </si>
  <si>
    <t>Longer for venue and partner coordination</t>
  </si>
  <si>
    <t>EXPECTED RETURN ON AD SPEND (ROAS) ANALYSIS</t>
  </si>
  <si>
    <t>Since our primary KPI is awareness/impressions (not direct conversions), we measure ROAS as Cost Per Thousand Impressions (CPM).</t>
  </si>
  <si>
    <t>Reach Quality</t>
  </si>
  <si>
    <t>Targeting Accuracy</t>
  </si>
  <si>
    <t>ROAS Rating</t>
  </si>
  <si>
    <t>Data Source</t>
  </si>
  <si>
    <t>High - Print to hand</t>
  </si>
  <si>
    <t>Medium - General BSU</t>
  </si>
  <si>
    <t>★★★☆☆</t>
  </si>
  <si>
    <t>Student Media rate card</t>
  </si>
  <si>
    <t>Medium - Banner ads</t>
  </si>
  <si>
    <t>Medium - BSU readers</t>
  </si>
  <si>
    <t>★★★★☆</t>
  </si>
  <si>
    <t>Arbiter: 20K monthly views</t>
  </si>
  <si>
    <t>2K copies x 3 readers/copy</t>
  </si>
  <si>
    <t>High - Captive audience</t>
  </si>
  <si>
    <t>High - Bus riders</t>
  </si>
  <si>
    <t>★★★★★</t>
  </si>
  <si>
    <t>ESTIMATE - needs validation</t>
  </si>
  <si>
    <t>Meta/Instagram Ads</t>
  </si>
  <si>
    <t>Medium - Digital</t>
  </si>
  <si>
    <t>High - Targeted demo</t>
  </si>
  <si>
    <t>Meta Ads Manager projections</t>
  </si>
  <si>
    <t>@boisestatecobe IG</t>
  </si>
  <si>
    <t>Medium - Organic reach</t>
  </si>
  <si>
    <t>High - COBE followers</t>
  </si>
  <si>
    <t>ESTIMATE - need follower count</t>
  </si>
  <si>
    <t>@boisestatecobe LI</t>
  </si>
  <si>
    <t>Medium - Professional</t>
  </si>
  <si>
    <t>High - COBE network</t>
  </si>
  <si>
    <t>High - Email open rate</t>
  </si>
  <si>
    <t>Very High - Subscribers</t>
  </si>
  <si>
    <t>ESTIMATE - need list size/open rate</t>
  </si>
  <si>
    <t>High - COBE community</t>
  </si>
  <si>
    <t>MBEB/Campus Screens</t>
  </si>
  <si>
    <t>Medium - Passive view</t>
  </si>
  <si>
    <t>High - COBE students</t>
  </si>
  <si>
    <t>ESTIMATE - based on foot traffic</t>
  </si>
  <si>
    <t>Very High - In-person</t>
  </si>
  <si>
    <t>Very High - Direct</t>
  </si>
  <si>
    <t>~50 contacts x 4 events x 5 touches</t>
  </si>
  <si>
    <t>Medium - Discovery</t>
  </si>
  <si>
    <t>Medium - Event seekers</t>
  </si>
  <si>
    <t>ESTIMATE - university calendar reach</t>
  </si>
  <si>
    <t>KEY INSIGHTS</t>
  </si>
  <si>
    <t>• Best CPM: Instagram/Meta ads deliver ~$4 CPM with precise demographic targeting</t>
  </si>
  <si>
    <t>• Best Quality Impressions: Tabling events and class visits provide highest-quality direct engagement</t>
  </si>
  <si>
    <t>• Free Channel Value: COBE internal channels deliver ~45,000 impressions at zero cost</t>
  </si>
  <si>
    <t>• Newsletter Strategy: Feature certificates every few months with varied messaging to avoid tune-out (per Kate)</t>
  </si>
  <si>
    <t>• Data Gaps: Yellow-highlighted rows need validation with actual COBE analytics</t>
  </si>
  <si>
    <t>COBE MARKETING CONTACTS &amp; REQUEST PROCESS</t>
  </si>
  <si>
    <t>THE GOLDEN RULE: All requests start at cobe-info@boisestate.edu</t>
  </si>
  <si>
    <t>MARKETING TEAM CONTACTS</t>
  </si>
  <si>
    <t>Role</t>
  </si>
  <si>
    <t>Name</t>
  </si>
  <si>
    <t>Responsibility</t>
  </si>
  <si>
    <t>Director</t>
  </si>
  <si>
    <t>Kate Watson</t>
  </si>
  <si>
    <t>Strategy, approvals, crisis response, newsletter coordination</t>
  </si>
  <si>
    <t>Mgmt Assistant</t>
  </si>
  <si>
    <t>Kim Presnell</t>
  </si>
  <si>
    <t>Social media scheduling, posting logistics</t>
  </si>
  <si>
    <t>Multimedia</t>
  </si>
  <si>
    <t>Joe Morgan</t>
  </si>
  <si>
    <t>Video production, event photography, reels</t>
  </si>
  <si>
    <t>Graphic Design</t>
  </si>
  <si>
    <t>McKenna Howard</t>
  </si>
  <si>
    <t>Visual assets, layout design, Hands-Off creative</t>
  </si>
  <si>
    <t>Ann Hottinger</t>
  </si>
  <si>
    <t>Creative support, template design, Hands-Off creative</t>
  </si>
  <si>
    <t>REQUEST EMAIL FORMAT</t>
  </si>
  <si>
    <t>Subject Line:</t>
  </si>
  <si>
    <t>PROGRAM REQUEST - [Channel] - [Date Range]</t>
  </si>
  <si>
    <t>Include in Email:</t>
  </si>
  <si>
    <t>• Channel(s): Instagram, LinkedIn, Email, Web, MBEB screens, Event support</t>
  </si>
  <si>
    <t>• Target publish/send date(s) and requested cadence</t>
  </si>
  <si>
    <t>• Campaign objective + success metric (e.g., RSVPs, applications)</t>
  </si>
  <si>
    <t>• Copy draft (≤100 words) and CTA link (Certificate Landing Page)</t>
  </si>
  <si>
    <t>• Assets attached with correct sizes and alt text</t>
  </si>
  <si>
    <t>• Lead owner for approvals</t>
  </si>
  <si>
    <t>TWO PATHS FOR REQUESTS</t>
  </si>
  <si>
    <t>HANDS-OFF (Concierge)</t>
  </si>
  <si>
    <t>HANDS-ON (DIY with Support)</t>
  </si>
  <si>
    <t>You provide: Who, What, When, Where, Photos</t>
  </si>
  <si>
    <t>You create: Copy, Graphics using templates</t>
  </si>
  <si>
    <t>Marketing handles: Copy, Graphics, Scheduling, Approvals</t>
  </si>
  <si>
    <t>Marketing provides: Templates, Brand Review, Final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</si>
</sst>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\$#,##0"/>
    <numFmt numFmtId="166" formatCode="0.0%"/>
    <numFmt numFmtId="167" formatCode="_(&quot;$&quot;* #,##0.00_);_(&quot;$&quot;* \(#,##0.00\);_(&quot;$&quot;* &quot;-&quot;??_);_(@_)"/>
    <numFmt numFmtId="168" formatCode="\$#,##0.00"/>
  </numFmts>
  <fonts count="16">
    <font>
      <sz val="11.0"/>
      <color theme="1"/>
      <name val="Calibri"/>
      <scheme val="minor"/>
    </font>
    <font>
      <b/>
      <sz val="18.0"/>
      <color rgb="FF333333"/>
      <name val="Cambria"/>
    </font>
    <font>
      <sz val="11.0"/>
      <color rgb="FF666666"/>
      <name val="Cambria"/>
    </font>
    <font>
      <b/>
      <sz val="11.0"/>
      <color rgb="FF0033A0"/>
      <name val="Cambria"/>
    </font>
    <font>
      <b/>
      <sz val="11.0"/>
      <color theme="1"/>
      <name val="Cambria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mbria"/>
    </font>
    <font>
      <i/>
      <sz val="11.0"/>
      <color rgb="FF666666"/>
      <name val="Cambria"/>
    </font>
    <font/>
    <font>
      <b/>
      <sz val="16.0"/>
      <color rgb="FF333333"/>
      <name val="Cambria"/>
    </font>
    <font>
      <sz val="10.0"/>
      <color theme="1"/>
      <name val="Arial"/>
    </font>
    <font>
      <b/>
      <sz val="11.0"/>
      <color rgb="FF228B22"/>
      <name val="Cambria"/>
    </font>
    <font>
      <b/>
      <sz val="11.0"/>
      <color rgb="FF1E90FF"/>
      <name val="Cambria"/>
    </font>
    <font>
      <b/>
      <sz val="14.0"/>
      <color rgb="FFD64309"/>
      <name val="Cambria"/>
    </font>
    <font>
      <b/>
      <sz val="11.0"/>
      <color rgb="FFD64309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0033A0"/>
        <bgColor rgb="FF0033A0"/>
      </patternFill>
    </fill>
    <fill>
      <patternFill patternType="solid">
        <fgColor rgb="FFFFF3E0"/>
        <bgColor rgb="FFFFF3E0"/>
      </patternFill>
    </fill>
    <fill>
      <patternFill patternType="solid">
        <fgColor rgb="FFD64309"/>
        <bgColor rgb="FFD64309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</fills>
  <borders count="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165" xfId="0" applyAlignment="1" applyBorder="1" applyFont="1" applyNumberFormat="1">
      <alignment horizontal="center" shrinkToFit="0" vertical="center" wrapText="1"/>
    </xf>
    <xf borderId="2" fillId="0" fontId="6" numFmtId="166" xfId="0" applyAlignment="1" applyBorder="1" applyFont="1" applyNumberFormat="1">
      <alignment horizontal="center"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2" fillId="0" fontId="6" numFmtId="165" xfId="0" applyAlignment="1" applyBorder="1" applyFont="1" applyNumberFormat="1">
      <alignment horizontal="center" readingOrder="0" shrinkToFit="0" vertical="center" wrapText="1"/>
    </xf>
    <xf borderId="2" fillId="0" fontId="6" numFmtId="3" xfId="0" applyAlignment="1" applyBorder="1" applyFont="1" applyNumberForma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165" xfId="0" applyAlignment="1" applyBorder="1" applyFont="1" applyNumberFormat="1">
      <alignment horizontal="center" shrinkToFit="0" vertical="center" wrapText="1"/>
    </xf>
    <xf borderId="2" fillId="3" fontId="4" numFmtId="166" xfId="0" applyAlignment="1" applyBorder="1" applyFont="1" applyNumberFormat="1">
      <alignment horizontal="center" shrinkToFit="0" vertical="center" wrapText="1"/>
    </xf>
    <xf borderId="2" fillId="3" fontId="4" numFmtId="3" xfId="0" applyAlignment="1" applyBorder="1" applyFont="1" applyNumberFormat="1">
      <alignment horizontal="center" shrinkToFit="0" vertical="center" wrapText="1"/>
    </xf>
    <xf borderId="0" fillId="0" fontId="8" numFmtId="0" xfId="0" applyFont="1"/>
    <xf borderId="1" fillId="4" fontId="7" numFmtId="0" xfId="0" applyBorder="1" applyFill="1" applyFont="1"/>
    <xf borderId="3" fillId="4" fontId="7" numFmtId="0" xfId="0" applyBorder="1" applyFont="1"/>
    <xf borderId="4" fillId="0" fontId="9" numFmtId="0" xfId="0" applyBorder="1" applyFont="1"/>
    <xf borderId="5" fillId="0" fontId="9" numFmtId="0" xfId="0" applyBorder="1" applyFont="1"/>
    <xf borderId="1" fillId="5" fontId="4" numFmtId="0" xfId="0" applyBorder="1" applyFill="1" applyFont="1"/>
    <xf borderId="0" fillId="0" fontId="10" numFmtId="0" xfId="0" applyFont="1"/>
    <xf borderId="2" fillId="2" fontId="7" numFmtId="0" xfId="0" applyAlignment="1" applyBorder="1" applyFont="1">
      <alignment horizontal="center" shrinkToFit="0" vertical="center" wrapText="1"/>
    </xf>
    <xf borderId="3" fillId="3" fontId="3" numFmtId="0" xfId="0" applyBorder="1" applyFont="1"/>
    <xf borderId="2" fillId="0" fontId="6" numFmtId="0" xfId="0" applyAlignment="1" applyBorder="1" applyFont="1">
      <alignment horizontal="left" shrinkToFit="0" vertical="center" wrapText="1"/>
    </xf>
    <xf borderId="2" fillId="0" fontId="11" numFmtId="167" xfId="0" applyAlignment="1" applyBorder="1" applyFont="1" applyNumberFormat="1">
      <alignment horizontal="center" shrinkToFit="0" vertical="center" wrapText="1"/>
    </xf>
    <xf borderId="0" fillId="0" fontId="11" numFmtId="167" xfId="0" applyFont="1" applyNumberFormat="1"/>
    <xf borderId="3" fillId="6" fontId="3" numFmtId="0" xfId="0" applyBorder="1" applyFill="1" applyFont="1"/>
    <xf borderId="2" fillId="0" fontId="12" numFmtId="0" xfId="0" applyAlignment="1" applyBorder="1" applyFont="1">
      <alignment horizontal="center" shrinkToFit="0" vertical="center" wrapText="1"/>
    </xf>
    <xf borderId="3" fillId="3" fontId="4" numFmtId="0" xfId="0" applyBorder="1" applyFont="1"/>
    <xf borderId="2" fillId="3" fontId="4" numFmtId="165" xfId="0" applyBorder="1" applyFont="1" applyNumberFormat="1"/>
    <xf borderId="1" fillId="4" fontId="7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shrinkToFit="0" vertical="center" wrapText="1"/>
    </xf>
    <xf borderId="2" fillId="6" fontId="6" numFmtId="0" xfId="0" applyAlignment="1" applyBorder="1" applyFont="1">
      <alignment horizontal="center" shrinkToFit="0" vertical="center" wrapText="1"/>
    </xf>
    <xf borderId="2" fillId="2" fontId="7" numFmtId="0" xfId="0" applyBorder="1" applyFont="1"/>
    <xf borderId="2" fillId="0" fontId="6" numFmtId="0" xfId="0" applyBorder="1" applyFont="1"/>
    <xf borderId="2" fillId="0" fontId="6" numFmtId="168" xfId="0" applyAlignment="1" applyBorder="1" applyFont="1" applyNumberForma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7" fontId="6" numFmtId="0" xfId="0" applyAlignment="1" applyBorder="1" applyFill="1" applyFont="1">
      <alignment horizontal="center" shrinkToFit="0" vertical="center" wrapText="1"/>
    </xf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20.43"/>
    <col customWidth="1" min="4" max="4" width="22.0"/>
    <col customWidth="1" min="5" max="5" width="12.0"/>
    <col customWidth="1" min="6" max="6" width="15.0"/>
    <col customWidth="1" min="7" max="26" width="8.71"/>
  </cols>
  <sheetData>
    <row r="1" ht="21.75" customHeight="1">
      <c r="A1" s="1" t="s">
        <v>0</v>
      </c>
    </row>
    <row r="2" ht="15.0" customHeight="1">
      <c r="A2" s="2" t="s">
        <v>1</v>
      </c>
    </row>
    <row r="3" ht="14.25" customHeight="1"/>
    <row r="4" ht="14.25" customHeight="1">
      <c r="A4" s="3" t="s">
        <v>2</v>
      </c>
    </row>
    <row r="5" ht="14.25" customHeight="1">
      <c r="A5" s="4" t="s">
        <v>3</v>
      </c>
      <c r="B5" s="5" t="s">
        <v>4</v>
      </c>
      <c r="C5" s="4" t="s">
        <v>5</v>
      </c>
      <c r="D5" s="5" t="s">
        <v>6</v>
      </c>
    </row>
    <row r="6" ht="14.25" customHeight="1">
      <c r="A6" s="4" t="s">
        <v>7</v>
      </c>
      <c r="B6" s="5" t="s">
        <v>8</v>
      </c>
      <c r="C6" s="4" t="s">
        <v>9</v>
      </c>
      <c r="D6" s="5" t="s">
        <v>10</v>
      </c>
    </row>
    <row r="7" ht="14.25" customHeight="1">
      <c r="A7" s="4" t="s">
        <v>11</v>
      </c>
      <c r="B7" s="6">
        <v>2090.0</v>
      </c>
      <c r="C7" s="4" t="s">
        <v>12</v>
      </c>
      <c r="D7" s="7" t="s">
        <v>13</v>
      </c>
    </row>
    <row r="8" ht="14.25" customHeight="1">
      <c r="A8" s="4" t="s">
        <v>14</v>
      </c>
      <c r="B8" s="8" t="s">
        <v>15</v>
      </c>
    </row>
    <row r="9" ht="14.25" customHeight="1"/>
    <row r="10" ht="14.25" customHeight="1"/>
    <row r="11" ht="14.25" customHeight="1">
      <c r="A11" s="3" t="s">
        <v>16</v>
      </c>
    </row>
    <row r="12" ht="14.25" customHeight="1">
      <c r="A12" s="9" t="s">
        <v>17</v>
      </c>
      <c r="B12" s="9" t="s">
        <v>18</v>
      </c>
      <c r="C12" s="9" t="s">
        <v>19</v>
      </c>
      <c r="D12" s="9" t="s">
        <v>20</v>
      </c>
      <c r="E12" s="9" t="s">
        <v>21</v>
      </c>
    </row>
    <row r="13" ht="14.25" customHeight="1">
      <c r="A13" s="10" t="s">
        <v>22</v>
      </c>
      <c r="B13" s="11">
        <v>1250.0</v>
      </c>
      <c r="C13" s="12">
        <f>B13/B17</f>
        <v>0.5980861244</v>
      </c>
      <c r="D13" s="13">
        <v>75000.0</v>
      </c>
      <c r="E13" s="10">
        <f t="shared" ref="E13:E15" si="1">B13/D13*1000</f>
        <v>16.66666667</v>
      </c>
    </row>
    <row r="14" ht="14.25" customHeight="1">
      <c r="A14" s="10" t="s">
        <v>23</v>
      </c>
      <c r="B14" s="14">
        <v>560.0</v>
      </c>
      <c r="C14" s="12">
        <f>B14/B17</f>
        <v>0.2679425837</v>
      </c>
      <c r="D14" s="15">
        <v>105000.0</v>
      </c>
      <c r="E14" s="10">
        <f t="shared" si="1"/>
        <v>5.333333333</v>
      </c>
    </row>
    <row r="15" ht="14.25" customHeight="1">
      <c r="A15" s="10" t="s">
        <v>24</v>
      </c>
      <c r="B15" s="11">
        <v>280.0</v>
      </c>
      <c r="C15" s="12">
        <f>B15/B17</f>
        <v>0.1339712919</v>
      </c>
      <c r="D15" s="13">
        <v>12000.0</v>
      </c>
      <c r="E15" s="10">
        <f t="shared" si="1"/>
        <v>23.33333333</v>
      </c>
    </row>
    <row r="16" ht="14.25" customHeight="1">
      <c r="A16" s="10" t="s">
        <v>25</v>
      </c>
      <c r="B16" s="10">
        <v>0.0</v>
      </c>
      <c r="C16" s="10">
        <v>0.0</v>
      </c>
      <c r="D16" s="13">
        <v>45000.0</v>
      </c>
      <c r="E16" s="10" t="s">
        <v>26</v>
      </c>
    </row>
    <row r="17" ht="14.25" customHeight="1">
      <c r="A17" s="16" t="s">
        <v>27</v>
      </c>
      <c r="B17" s="17">
        <f t="shared" ref="B17:D17" si="2">SUM(B13:B16)</f>
        <v>2090</v>
      </c>
      <c r="C17" s="18">
        <f t="shared" si="2"/>
        <v>1</v>
      </c>
      <c r="D17" s="19">
        <f t="shared" si="2"/>
        <v>237000</v>
      </c>
      <c r="E17" s="16">
        <f>B17/D17*1000</f>
        <v>8.818565401</v>
      </c>
    </row>
    <row r="18" ht="14.25" customHeight="1"/>
    <row r="19" ht="14.25" customHeight="1">
      <c r="A19" s="20" t="s">
        <v>28</v>
      </c>
    </row>
    <row r="20" ht="14.25" customHeight="1"/>
    <row r="21" ht="14.25" customHeight="1">
      <c r="A21" s="3" t="s">
        <v>29</v>
      </c>
    </row>
    <row r="22" ht="14.25" customHeight="1">
      <c r="A22" s="21" t="s">
        <v>30</v>
      </c>
      <c r="B22" s="22" t="s">
        <v>31</v>
      </c>
      <c r="C22" s="23"/>
      <c r="D22" s="23"/>
      <c r="E22" s="23"/>
      <c r="F22" s="24"/>
    </row>
    <row r="23" ht="14.25" customHeight="1">
      <c r="A23" s="25" t="s">
        <v>32</v>
      </c>
      <c r="B23" s="8" t="s">
        <v>33</v>
      </c>
    </row>
    <row r="24" ht="14.25" customHeight="1">
      <c r="A24" s="25" t="s">
        <v>34</v>
      </c>
      <c r="B24" s="8" t="s">
        <v>35</v>
      </c>
    </row>
    <row r="25" ht="14.25" customHeight="1">
      <c r="A25" s="25" t="s">
        <v>36</v>
      </c>
      <c r="B25" s="8" t="s">
        <v>37</v>
      </c>
    </row>
    <row r="26" ht="14.25" customHeight="1">
      <c r="A26" s="25" t="s">
        <v>38</v>
      </c>
      <c r="B26" s="8" t="s">
        <v>39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25:F25"/>
    <mergeCell ref="B26:F26"/>
    <mergeCell ref="A1:H1"/>
    <mergeCell ref="A2:H2"/>
    <mergeCell ref="B8:D8"/>
    <mergeCell ref="A19:E19"/>
    <mergeCell ref="B22:F22"/>
    <mergeCell ref="B23:F23"/>
    <mergeCell ref="B24:F24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3" width="10.0"/>
    <col customWidth="1" min="4" max="4" width="12.0"/>
    <col customWidth="1" min="5" max="9" width="10.0"/>
    <col customWidth="1" min="10" max="10" width="14.0"/>
    <col customWidth="1" min="11" max="11" width="75.0"/>
    <col customWidth="1" min="12" max="26" width="8.71"/>
  </cols>
  <sheetData>
    <row r="1" ht="14.25" customHeight="1">
      <c r="A1" s="26" t="s">
        <v>40</v>
      </c>
    </row>
    <row r="2" ht="14.25" customHeight="1"/>
    <row r="3" ht="14.25" customHeight="1">
      <c r="A3" s="27" t="s">
        <v>41</v>
      </c>
      <c r="B3" s="27" t="s">
        <v>42</v>
      </c>
      <c r="C3" s="27" t="s">
        <v>43</v>
      </c>
      <c r="D3" s="27" t="s">
        <v>44</v>
      </c>
      <c r="E3" s="27" t="s">
        <v>45</v>
      </c>
      <c r="F3" s="27" t="s">
        <v>46</v>
      </c>
      <c r="G3" s="27" t="s">
        <v>47</v>
      </c>
      <c r="H3" s="27" t="s">
        <v>48</v>
      </c>
      <c r="I3" s="27" t="s">
        <v>38</v>
      </c>
      <c r="J3" s="27" t="s">
        <v>49</v>
      </c>
      <c r="K3" s="27" t="s">
        <v>50</v>
      </c>
    </row>
    <row r="4" ht="14.25" customHeight="1">
      <c r="A4" s="28" t="s">
        <v>51</v>
      </c>
      <c r="B4" s="23"/>
      <c r="C4" s="23"/>
      <c r="D4" s="23"/>
      <c r="E4" s="23"/>
      <c r="F4" s="23"/>
      <c r="G4" s="23"/>
      <c r="H4" s="23"/>
      <c r="I4" s="23"/>
      <c r="J4" s="23"/>
      <c r="K4" s="24"/>
    </row>
    <row r="5" ht="14.25" customHeight="1">
      <c r="A5" s="29" t="s">
        <v>52</v>
      </c>
      <c r="B5" s="10" t="s">
        <v>53</v>
      </c>
      <c r="C5" s="30">
        <v>450.0</v>
      </c>
      <c r="D5" s="10" t="s">
        <v>54</v>
      </c>
      <c r="E5" s="11">
        <v>0.0</v>
      </c>
      <c r="F5" s="11">
        <v>0.0</v>
      </c>
      <c r="G5" s="11">
        <v>0.0</v>
      </c>
      <c r="H5" s="11">
        <v>450.0</v>
      </c>
      <c r="I5" s="11">
        <v>0.0</v>
      </c>
      <c r="J5" s="11">
        <f t="shared" ref="J5:J9" si="1">SUM(E5:I5)</f>
        <v>450</v>
      </c>
      <c r="K5" s="29" t="s">
        <v>55</v>
      </c>
    </row>
    <row r="6" ht="14.25" customHeight="1">
      <c r="A6" s="29" t="s">
        <v>56</v>
      </c>
      <c r="B6" s="10" t="s">
        <v>57</v>
      </c>
      <c r="C6" s="30">
        <v>400.0</v>
      </c>
      <c r="D6" s="10" t="s">
        <v>58</v>
      </c>
      <c r="E6" s="11">
        <v>0.0</v>
      </c>
      <c r="F6" s="11">
        <v>0.0</v>
      </c>
      <c r="G6" s="11">
        <v>400.0</v>
      </c>
      <c r="H6" s="11">
        <v>0.0</v>
      </c>
      <c r="I6" s="11">
        <v>0.0</v>
      </c>
      <c r="J6" s="11">
        <f t="shared" si="1"/>
        <v>400</v>
      </c>
      <c r="K6" s="29" t="s">
        <v>59</v>
      </c>
    </row>
    <row r="7" ht="14.25" customHeight="1">
      <c r="A7" s="29" t="s">
        <v>60</v>
      </c>
      <c r="B7" s="10" t="s">
        <v>53</v>
      </c>
      <c r="C7" s="30">
        <v>400.0</v>
      </c>
      <c r="D7" s="10" t="s">
        <v>61</v>
      </c>
      <c r="E7" s="11">
        <v>0.0</v>
      </c>
      <c r="F7" s="11">
        <v>400.0</v>
      </c>
      <c r="G7" s="11">
        <v>0.0</v>
      </c>
      <c r="H7" s="11">
        <v>0.0</v>
      </c>
      <c r="I7" s="11">
        <v>0.0</v>
      </c>
      <c r="J7" s="11">
        <f t="shared" si="1"/>
        <v>400</v>
      </c>
      <c r="K7" s="29" t="s">
        <v>62</v>
      </c>
    </row>
    <row r="8" ht="14.25" customHeight="1">
      <c r="A8" s="29" t="s">
        <v>63</v>
      </c>
      <c r="B8" s="10" t="s">
        <v>53</v>
      </c>
      <c r="C8" s="30">
        <v>14.0</v>
      </c>
      <c r="D8" s="10" t="s">
        <v>64</v>
      </c>
      <c r="E8" s="11">
        <v>0.0</v>
      </c>
      <c r="F8" s="11">
        <v>0.0</v>
      </c>
      <c r="G8" s="11">
        <v>280.0</v>
      </c>
      <c r="H8" s="11">
        <v>0.0</v>
      </c>
      <c r="I8" s="11">
        <v>0.0</v>
      </c>
      <c r="J8" s="11">
        <f t="shared" si="1"/>
        <v>280</v>
      </c>
      <c r="K8" s="29" t="s">
        <v>65</v>
      </c>
    </row>
    <row r="9" ht="14.25" customHeight="1">
      <c r="A9" s="29" t="s">
        <v>66</v>
      </c>
      <c r="B9" s="10" t="s">
        <v>57</v>
      </c>
      <c r="C9" s="30">
        <v>140.0</v>
      </c>
      <c r="D9" s="10" t="s">
        <v>58</v>
      </c>
      <c r="E9" s="11">
        <v>0.0</v>
      </c>
      <c r="F9" s="11">
        <v>140.0</v>
      </c>
      <c r="G9" s="11">
        <v>140.0</v>
      </c>
      <c r="H9" s="11">
        <v>140.0</v>
      </c>
      <c r="I9" s="11">
        <v>140.0</v>
      </c>
      <c r="J9" s="11">
        <f t="shared" si="1"/>
        <v>560</v>
      </c>
      <c r="K9" s="29" t="s">
        <v>67</v>
      </c>
    </row>
    <row r="10" ht="14.25" customHeight="1">
      <c r="C10" s="31"/>
    </row>
    <row r="11" ht="14.25" customHeight="1">
      <c r="A11" s="32" t="s">
        <v>68</v>
      </c>
      <c r="B11" s="23"/>
      <c r="C11" s="23"/>
      <c r="D11" s="23"/>
      <c r="E11" s="23"/>
      <c r="F11" s="23"/>
      <c r="G11" s="23"/>
      <c r="H11" s="23"/>
      <c r="I11" s="23"/>
      <c r="J11" s="23"/>
      <c r="K11" s="24"/>
    </row>
    <row r="12" ht="14.25" customHeight="1">
      <c r="A12" s="29" t="s">
        <v>69</v>
      </c>
      <c r="B12" s="10" t="s">
        <v>70</v>
      </c>
      <c r="C12" s="10">
        <v>0.0</v>
      </c>
      <c r="D12" s="10" t="s">
        <v>71</v>
      </c>
      <c r="E12" s="10" t="s">
        <v>72</v>
      </c>
      <c r="F12" s="10" t="s">
        <v>72</v>
      </c>
      <c r="G12" s="10" t="s">
        <v>72</v>
      </c>
      <c r="H12" s="10" t="s">
        <v>72</v>
      </c>
      <c r="I12" s="10" t="s">
        <v>72</v>
      </c>
      <c r="J12" s="10" t="s">
        <v>73</v>
      </c>
      <c r="K12" s="29" t="s">
        <v>74</v>
      </c>
    </row>
    <row r="13" ht="14.25" customHeight="1">
      <c r="A13" s="29" t="s">
        <v>75</v>
      </c>
      <c r="B13" s="10" t="s">
        <v>70</v>
      </c>
      <c r="C13" s="10">
        <v>0.0</v>
      </c>
      <c r="D13" s="10" t="s">
        <v>71</v>
      </c>
      <c r="E13" s="10" t="s">
        <v>76</v>
      </c>
      <c r="F13" s="10" t="s">
        <v>76</v>
      </c>
      <c r="G13" s="10" t="s">
        <v>76</v>
      </c>
      <c r="H13" s="10" t="s">
        <v>76</v>
      </c>
      <c r="I13" s="10" t="s">
        <v>76</v>
      </c>
      <c r="J13" s="10" t="s">
        <v>73</v>
      </c>
      <c r="K13" s="29" t="s">
        <v>77</v>
      </c>
    </row>
    <row r="14" ht="14.25" customHeight="1">
      <c r="A14" s="29" t="s">
        <v>78</v>
      </c>
      <c r="B14" s="10" t="s">
        <v>79</v>
      </c>
      <c r="C14" s="10">
        <v>0.0</v>
      </c>
      <c r="D14" s="10" t="s">
        <v>80</v>
      </c>
      <c r="E14" s="10" t="s">
        <v>26</v>
      </c>
      <c r="F14" s="33" t="s">
        <v>81</v>
      </c>
      <c r="G14" s="33" t="s">
        <v>81</v>
      </c>
      <c r="H14" s="33" t="s">
        <v>81</v>
      </c>
      <c r="I14" s="10" t="s">
        <v>26</v>
      </c>
      <c r="J14" s="10" t="s">
        <v>73</v>
      </c>
      <c r="K14" s="29" t="s">
        <v>82</v>
      </c>
    </row>
    <row r="15" ht="14.25" customHeight="1">
      <c r="A15" s="29" t="s">
        <v>83</v>
      </c>
      <c r="B15" s="10" t="s">
        <v>79</v>
      </c>
      <c r="C15" s="10">
        <v>0.0</v>
      </c>
      <c r="D15" s="10" t="s">
        <v>80</v>
      </c>
      <c r="E15" s="10" t="s">
        <v>26</v>
      </c>
      <c r="F15" s="10" t="s">
        <v>26</v>
      </c>
      <c r="G15" s="33" t="s">
        <v>81</v>
      </c>
      <c r="H15" s="10" t="s">
        <v>26</v>
      </c>
      <c r="I15" s="33" t="s">
        <v>81</v>
      </c>
      <c r="J15" s="10" t="s">
        <v>73</v>
      </c>
      <c r="K15" s="29" t="s">
        <v>84</v>
      </c>
    </row>
    <row r="16" ht="14.25" customHeight="1">
      <c r="A16" s="29" t="s">
        <v>85</v>
      </c>
      <c r="B16" s="10" t="s">
        <v>57</v>
      </c>
      <c r="C16" s="10">
        <v>0.0</v>
      </c>
      <c r="D16" s="10" t="s">
        <v>86</v>
      </c>
      <c r="E16" s="33" t="s">
        <v>81</v>
      </c>
      <c r="F16" s="33" t="s">
        <v>81</v>
      </c>
      <c r="G16" s="33" t="s">
        <v>81</v>
      </c>
      <c r="H16" s="33" t="s">
        <v>81</v>
      </c>
      <c r="I16" s="33" t="s">
        <v>81</v>
      </c>
      <c r="J16" s="10" t="s">
        <v>73</v>
      </c>
      <c r="K16" s="29" t="s">
        <v>87</v>
      </c>
    </row>
    <row r="17" ht="14.25" customHeight="1">
      <c r="A17" s="29" t="s">
        <v>88</v>
      </c>
      <c r="B17" s="10" t="s">
        <v>57</v>
      </c>
      <c r="C17" s="10">
        <v>0.0</v>
      </c>
      <c r="D17" s="10" t="s">
        <v>86</v>
      </c>
      <c r="E17" s="33" t="s">
        <v>81</v>
      </c>
      <c r="F17" s="33" t="s">
        <v>81</v>
      </c>
      <c r="G17" s="33" t="s">
        <v>81</v>
      </c>
      <c r="H17" s="33" t="s">
        <v>81</v>
      </c>
      <c r="I17" s="33" t="s">
        <v>81</v>
      </c>
      <c r="J17" s="10" t="s">
        <v>73</v>
      </c>
      <c r="K17" s="29" t="s">
        <v>89</v>
      </c>
    </row>
    <row r="18" ht="14.25" customHeight="1">
      <c r="A18" s="29" t="s">
        <v>90</v>
      </c>
      <c r="B18" s="10" t="s">
        <v>91</v>
      </c>
      <c r="C18" s="10">
        <v>0.0</v>
      </c>
      <c r="D18" s="10" t="s">
        <v>92</v>
      </c>
      <c r="E18" s="10" t="s">
        <v>26</v>
      </c>
      <c r="F18" s="10" t="s">
        <v>26</v>
      </c>
      <c r="G18" s="33" t="s">
        <v>81</v>
      </c>
      <c r="H18" s="33" t="s">
        <v>81</v>
      </c>
      <c r="I18" s="10" t="s">
        <v>26</v>
      </c>
      <c r="J18" s="10" t="s">
        <v>73</v>
      </c>
      <c r="K18" s="29" t="s">
        <v>93</v>
      </c>
    </row>
    <row r="19" ht="14.25" customHeight="1">
      <c r="A19" s="29" t="s">
        <v>94</v>
      </c>
      <c r="B19" s="10" t="s">
        <v>91</v>
      </c>
      <c r="C19" s="10">
        <v>0.0</v>
      </c>
      <c r="D19" s="10" t="s">
        <v>95</v>
      </c>
      <c r="E19" s="33" t="s">
        <v>81</v>
      </c>
      <c r="F19" s="33" t="s">
        <v>81</v>
      </c>
      <c r="G19" s="33" t="s">
        <v>81</v>
      </c>
      <c r="H19" s="10" t="s">
        <v>26</v>
      </c>
      <c r="I19" s="10" t="s">
        <v>26</v>
      </c>
      <c r="J19" s="10" t="s">
        <v>73</v>
      </c>
      <c r="K19" s="29" t="s">
        <v>96</v>
      </c>
    </row>
    <row r="20" ht="14.25" customHeight="1">
      <c r="A20" s="29" t="s">
        <v>97</v>
      </c>
      <c r="B20" s="10" t="s">
        <v>57</v>
      </c>
      <c r="C20" s="10">
        <v>0.0</v>
      </c>
      <c r="D20" s="10" t="s">
        <v>92</v>
      </c>
      <c r="E20" s="33" t="s">
        <v>81</v>
      </c>
      <c r="F20" s="33" t="s">
        <v>81</v>
      </c>
      <c r="G20" s="33" t="s">
        <v>81</v>
      </c>
      <c r="H20" s="33" t="s">
        <v>81</v>
      </c>
      <c r="I20" s="33" t="s">
        <v>81</v>
      </c>
      <c r="J20" s="10" t="s">
        <v>73</v>
      </c>
      <c r="K20" s="29" t="s">
        <v>98</v>
      </c>
    </row>
    <row r="21" ht="14.25" customHeight="1"/>
    <row r="22" ht="14.25" customHeight="1">
      <c r="A22" s="34" t="s">
        <v>99</v>
      </c>
      <c r="B22" s="23"/>
      <c r="C22" s="23"/>
      <c r="D22" s="24"/>
      <c r="E22" s="35">
        <f t="shared" ref="E22:J22" si="2">SUM(E5:E9)</f>
        <v>0</v>
      </c>
      <c r="F22" s="35">
        <f t="shared" si="2"/>
        <v>540</v>
      </c>
      <c r="G22" s="35">
        <f t="shared" si="2"/>
        <v>820</v>
      </c>
      <c r="H22" s="35">
        <f t="shared" si="2"/>
        <v>590</v>
      </c>
      <c r="I22" s="35">
        <f t="shared" si="2"/>
        <v>140</v>
      </c>
      <c r="J22" s="35">
        <f t="shared" si="2"/>
        <v>2090</v>
      </c>
    </row>
    <row r="23" ht="14.25" customHeight="1"/>
    <row r="24" ht="14.25" customHeight="1">
      <c r="A24" s="3" t="s">
        <v>100</v>
      </c>
    </row>
    <row r="25" ht="14.25" customHeight="1">
      <c r="A25" s="8" t="s">
        <v>101</v>
      </c>
    </row>
    <row r="26" ht="14.25" customHeight="1">
      <c r="A26" s="8" t="s">
        <v>102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K1"/>
    <mergeCell ref="A4:K4"/>
    <mergeCell ref="A11:K11"/>
    <mergeCell ref="A22:D22"/>
    <mergeCell ref="A25:K25"/>
    <mergeCell ref="A26:K2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5.0"/>
    <col customWidth="1" min="3" max="4" width="18.0"/>
    <col customWidth="1" min="5" max="5" width="20.0"/>
    <col customWidth="1" min="6" max="6" width="15.0"/>
    <col customWidth="1" min="7" max="26" width="8.71"/>
  </cols>
  <sheetData>
    <row r="1" ht="14.25" customHeight="1">
      <c r="A1" s="26" t="s">
        <v>103</v>
      </c>
    </row>
    <row r="2" ht="14.25" customHeight="1"/>
    <row r="3" ht="14.25" customHeight="1">
      <c r="A3" s="9" t="s">
        <v>104</v>
      </c>
      <c r="B3" s="36" t="s">
        <v>105</v>
      </c>
      <c r="C3" s="36" t="s">
        <v>32</v>
      </c>
      <c r="D3" s="36" t="s">
        <v>34</v>
      </c>
      <c r="E3" s="36" t="s">
        <v>36</v>
      </c>
      <c r="F3" s="36" t="s">
        <v>38</v>
      </c>
      <c r="H3" s="7" t="s">
        <v>106</v>
      </c>
    </row>
    <row r="4" ht="14.25" customHeight="1">
      <c r="A4" s="37" t="s">
        <v>51</v>
      </c>
      <c r="B4" s="37"/>
      <c r="C4" s="37"/>
      <c r="D4" s="37"/>
      <c r="E4" s="37"/>
      <c r="F4" s="37"/>
    </row>
    <row r="5" ht="14.25" customHeight="1">
      <c r="A5" s="10" t="s">
        <v>107</v>
      </c>
      <c r="B5" s="10"/>
      <c r="C5" s="10"/>
      <c r="D5" s="10"/>
      <c r="E5" s="16" t="s">
        <v>108</v>
      </c>
      <c r="F5" s="38" t="s">
        <v>109</v>
      </c>
    </row>
    <row r="6" ht="14.25" customHeight="1">
      <c r="A6" s="10" t="s">
        <v>56</v>
      </c>
      <c r="B6" s="10"/>
      <c r="C6" s="10"/>
      <c r="D6" s="16" t="s">
        <v>110</v>
      </c>
      <c r="E6" s="10"/>
      <c r="F6" s="10"/>
    </row>
    <row r="7" ht="14.25" customHeight="1">
      <c r="A7" s="10" t="s">
        <v>111</v>
      </c>
      <c r="B7" s="10"/>
      <c r="C7" s="16" t="s">
        <v>112</v>
      </c>
      <c r="D7" s="10"/>
      <c r="E7" s="10"/>
      <c r="F7" s="10"/>
    </row>
    <row r="8" ht="14.25" customHeight="1">
      <c r="A8" s="10" t="s">
        <v>63</v>
      </c>
      <c r="B8" s="10"/>
      <c r="D8" s="16" t="s">
        <v>113</v>
      </c>
      <c r="F8" s="10"/>
    </row>
    <row r="9" ht="14.25" customHeight="1">
      <c r="A9" s="10" t="s">
        <v>114</v>
      </c>
      <c r="B9" s="10"/>
      <c r="C9" s="16" t="s">
        <v>115</v>
      </c>
      <c r="D9" s="38" t="s">
        <v>109</v>
      </c>
      <c r="E9" s="38" t="s">
        <v>109</v>
      </c>
      <c r="F9" s="10"/>
    </row>
    <row r="10" ht="14.25" customHeight="1">
      <c r="A10" s="37" t="s">
        <v>116</v>
      </c>
      <c r="B10" s="37"/>
      <c r="C10" s="37"/>
      <c r="D10" s="37"/>
      <c r="E10" s="37"/>
      <c r="F10" s="37"/>
    </row>
    <row r="11" ht="14.25" customHeight="1">
      <c r="A11" s="10" t="s">
        <v>117</v>
      </c>
      <c r="B11" s="38" t="s">
        <v>118</v>
      </c>
      <c r="C11" s="38" t="s">
        <v>118</v>
      </c>
      <c r="D11" s="38" t="s">
        <v>118</v>
      </c>
      <c r="E11" s="38" t="s">
        <v>118</v>
      </c>
      <c r="F11" s="38" t="s">
        <v>118</v>
      </c>
    </row>
    <row r="12" ht="14.25" customHeight="1">
      <c r="A12" s="10" t="s">
        <v>119</v>
      </c>
      <c r="B12" s="38" t="s">
        <v>120</v>
      </c>
      <c r="C12" s="38" t="s">
        <v>120</v>
      </c>
      <c r="D12" s="38" t="s">
        <v>120</v>
      </c>
      <c r="E12" s="38" t="s">
        <v>120</v>
      </c>
      <c r="F12" s="38" t="s">
        <v>120</v>
      </c>
    </row>
    <row r="13" ht="14.25" customHeight="1">
      <c r="A13" s="10" t="s">
        <v>78</v>
      </c>
      <c r="B13" s="10"/>
      <c r="C13" s="16" t="s">
        <v>121</v>
      </c>
      <c r="D13" s="16" t="s">
        <v>122</v>
      </c>
      <c r="E13" s="16" t="s">
        <v>123</v>
      </c>
      <c r="F13" s="10"/>
    </row>
    <row r="14" ht="14.25" customHeight="1">
      <c r="A14" s="10" t="s">
        <v>83</v>
      </c>
      <c r="B14" s="10"/>
      <c r="C14" s="10"/>
      <c r="D14" s="16" t="s">
        <v>124</v>
      </c>
      <c r="E14" s="10"/>
      <c r="F14" s="16" t="s">
        <v>124</v>
      </c>
    </row>
    <row r="15" ht="14.25" customHeight="1">
      <c r="A15" s="10" t="s">
        <v>125</v>
      </c>
      <c r="B15" s="38" t="s">
        <v>109</v>
      </c>
      <c r="C15" s="38" t="s">
        <v>109</v>
      </c>
      <c r="D15" s="38" t="s">
        <v>109</v>
      </c>
      <c r="E15" s="38" t="s">
        <v>109</v>
      </c>
      <c r="F15" s="38" t="s">
        <v>109</v>
      </c>
    </row>
    <row r="16" ht="14.25" customHeight="1">
      <c r="A16" s="10" t="s">
        <v>88</v>
      </c>
      <c r="B16" s="38" t="s">
        <v>109</v>
      </c>
      <c r="C16" s="38" t="s">
        <v>109</v>
      </c>
      <c r="D16" s="38" t="s">
        <v>109</v>
      </c>
      <c r="E16" s="38" t="s">
        <v>109</v>
      </c>
      <c r="F16" s="38" t="s">
        <v>109</v>
      </c>
    </row>
    <row r="17" ht="14.25" customHeight="1">
      <c r="A17" s="10" t="s">
        <v>126</v>
      </c>
      <c r="B17" s="10"/>
      <c r="C17" s="10"/>
      <c r="D17" s="10" t="s">
        <v>127</v>
      </c>
      <c r="E17" s="10" t="s">
        <v>127</v>
      </c>
      <c r="F17" s="10"/>
    </row>
    <row r="18" ht="14.25" customHeight="1">
      <c r="A18" s="10" t="s">
        <v>94</v>
      </c>
      <c r="B18" s="10" t="s">
        <v>128</v>
      </c>
      <c r="C18" s="10" t="s">
        <v>128</v>
      </c>
      <c r="D18" s="10" t="s">
        <v>128</v>
      </c>
      <c r="E18" s="10"/>
      <c r="F18" s="10"/>
    </row>
    <row r="19" ht="14.25" customHeight="1">
      <c r="A19" s="10" t="s">
        <v>97</v>
      </c>
      <c r="B19" s="38" t="s">
        <v>129</v>
      </c>
      <c r="C19" s="38" t="s">
        <v>129</v>
      </c>
      <c r="D19" s="38" t="s">
        <v>129</v>
      </c>
      <c r="E19" s="38" t="s">
        <v>129</v>
      </c>
      <c r="F19" s="38" t="s">
        <v>129</v>
      </c>
    </row>
    <row r="20" ht="14.25" customHeight="1"/>
    <row r="21" ht="14.25" customHeight="1">
      <c r="A21" s="3" t="s">
        <v>130</v>
      </c>
    </row>
    <row r="22" ht="14.25" customHeight="1">
      <c r="A22" s="39" t="s">
        <v>41</v>
      </c>
      <c r="B22" s="39" t="s">
        <v>131</v>
      </c>
      <c r="C22" s="39" t="s">
        <v>132</v>
      </c>
    </row>
    <row r="23" ht="14.25" customHeight="1">
      <c r="A23" s="40" t="s">
        <v>133</v>
      </c>
      <c r="B23" s="40" t="s">
        <v>134</v>
      </c>
      <c r="C23" s="40" t="s">
        <v>135</v>
      </c>
    </row>
    <row r="24" ht="14.25" customHeight="1">
      <c r="A24" s="40" t="s">
        <v>136</v>
      </c>
      <c r="B24" s="40" t="s">
        <v>137</v>
      </c>
      <c r="C24" s="40" t="s">
        <v>138</v>
      </c>
    </row>
    <row r="25" ht="14.25" customHeight="1">
      <c r="A25" s="40" t="s">
        <v>139</v>
      </c>
      <c r="B25" s="40" t="s">
        <v>134</v>
      </c>
      <c r="C25" s="40" t="s">
        <v>140</v>
      </c>
    </row>
    <row r="26" ht="14.25" customHeight="1">
      <c r="A26" s="40" t="s">
        <v>141</v>
      </c>
      <c r="B26" s="40" t="s">
        <v>142</v>
      </c>
      <c r="C26" s="40" t="s">
        <v>143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18.0"/>
    <col customWidth="1" min="4" max="4" width="12.0"/>
    <col customWidth="1" min="5" max="6" width="22.0"/>
    <col customWidth="1" min="7" max="7" width="15.0"/>
    <col customWidth="1" min="8" max="8" width="28.0"/>
    <col customWidth="1" min="9" max="26" width="8.71"/>
  </cols>
  <sheetData>
    <row r="1" ht="14.25" customHeight="1">
      <c r="A1" s="26" t="s">
        <v>144</v>
      </c>
    </row>
    <row r="2" ht="14.25" customHeight="1"/>
    <row r="3" ht="14.25" customHeight="1">
      <c r="A3" s="20" t="s">
        <v>145</v>
      </c>
    </row>
    <row r="4" ht="14.25" customHeight="1"/>
    <row r="5" ht="14.25" customHeight="1">
      <c r="A5" s="9" t="s">
        <v>41</v>
      </c>
      <c r="B5" s="9" t="s">
        <v>18</v>
      </c>
      <c r="C5" s="9" t="s">
        <v>20</v>
      </c>
      <c r="D5" s="9" t="s">
        <v>21</v>
      </c>
      <c r="E5" s="9" t="s">
        <v>146</v>
      </c>
      <c r="F5" s="9" t="s">
        <v>147</v>
      </c>
      <c r="G5" s="9" t="s">
        <v>148</v>
      </c>
      <c r="H5" s="9" t="s">
        <v>149</v>
      </c>
    </row>
    <row r="6" ht="14.25" customHeight="1">
      <c r="A6" s="10" t="s">
        <v>107</v>
      </c>
      <c r="B6" s="11">
        <v>450.0</v>
      </c>
      <c r="C6" s="13">
        <v>9000.0</v>
      </c>
      <c r="D6" s="41">
        <f t="shared" ref="D6:D10" si="1">B6/C6*1000</f>
        <v>50</v>
      </c>
      <c r="E6" s="10" t="s">
        <v>150</v>
      </c>
      <c r="F6" s="10" t="s">
        <v>151</v>
      </c>
      <c r="G6" s="10" t="s">
        <v>152</v>
      </c>
      <c r="H6" s="10" t="s">
        <v>153</v>
      </c>
    </row>
    <row r="7" ht="14.25" customHeight="1">
      <c r="A7" s="10" t="s">
        <v>56</v>
      </c>
      <c r="B7" s="11">
        <v>400.0</v>
      </c>
      <c r="C7" s="13">
        <v>20000.0</v>
      </c>
      <c r="D7" s="41">
        <f t="shared" si="1"/>
        <v>20</v>
      </c>
      <c r="E7" s="10" t="s">
        <v>154</v>
      </c>
      <c r="F7" s="10" t="s">
        <v>155</v>
      </c>
      <c r="G7" s="42" t="s">
        <v>156</v>
      </c>
      <c r="H7" s="10" t="s">
        <v>157</v>
      </c>
    </row>
    <row r="8" ht="14.25" customHeight="1">
      <c r="A8" s="10" t="s">
        <v>111</v>
      </c>
      <c r="B8" s="11">
        <v>400.0</v>
      </c>
      <c r="C8" s="13">
        <v>6000.0</v>
      </c>
      <c r="D8" s="41">
        <f t="shared" si="1"/>
        <v>66.66666667</v>
      </c>
      <c r="E8" s="10" t="s">
        <v>150</v>
      </c>
      <c r="F8" s="10" t="s">
        <v>151</v>
      </c>
      <c r="G8" s="10" t="s">
        <v>152</v>
      </c>
      <c r="H8" s="10" t="s">
        <v>158</v>
      </c>
    </row>
    <row r="9" ht="14.25" customHeight="1">
      <c r="A9" s="10" t="s">
        <v>63</v>
      </c>
      <c r="B9" s="11">
        <v>280.0</v>
      </c>
      <c r="C9" s="13">
        <v>12000.0</v>
      </c>
      <c r="D9" s="41">
        <f t="shared" si="1"/>
        <v>23.33333333</v>
      </c>
      <c r="E9" s="10" t="s">
        <v>159</v>
      </c>
      <c r="F9" s="10" t="s">
        <v>160</v>
      </c>
      <c r="G9" s="33" t="s">
        <v>161</v>
      </c>
      <c r="H9" s="43" t="s">
        <v>162</v>
      </c>
    </row>
    <row r="10" ht="14.25" customHeight="1">
      <c r="A10" s="10" t="s">
        <v>163</v>
      </c>
      <c r="B10" s="11">
        <v>140.0</v>
      </c>
      <c r="C10" s="13">
        <v>35000.0</v>
      </c>
      <c r="D10" s="41">
        <f t="shared" si="1"/>
        <v>4</v>
      </c>
      <c r="E10" s="10" t="s">
        <v>164</v>
      </c>
      <c r="F10" s="10" t="s">
        <v>165</v>
      </c>
      <c r="G10" s="33" t="s">
        <v>161</v>
      </c>
      <c r="H10" s="10" t="s">
        <v>166</v>
      </c>
    </row>
    <row r="11" ht="14.25" customHeight="1">
      <c r="A11" s="10" t="s">
        <v>167</v>
      </c>
      <c r="B11" s="11">
        <v>0.0</v>
      </c>
      <c r="C11" s="13">
        <v>12000.0</v>
      </c>
      <c r="D11" s="10" t="s">
        <v>26</v>
      </c>
      <c r="E11" s="10" t="s">
        <v>168</v>
      </c>
      <c r="F11" s="10" t="s">
        <v>169</v>
      </c>
      <c r="G11" s="33" t="s">
        <v>161</v>
      </c>
      <c r="H11" s="43" t="s">
        <v>170</v>
      </c>
    </row>
    <row r="12" ht="14.25" customHeight="1">
      <c r="A12" s="10" t="s">
        <v>171</v>
      </c>
      <c r="B12" s="11">
        <v>0.0</v>
      </c>
      <c r="C12" s="13">
        <v>5000.0</v>
      </c>
      <c r="D12" s="10" t="s">
        <v>26</v>
      </c>
      <c r="E12" s="10" t="s">
        <v>172</v>
      </c>
      <c r="F12" s="10" t="s">
        <v>173</v>
      </c>
      <c r="G12" s="42" t="s">
        <v>156</v>
      </c>
      <c r="H12" s="43" t="s">
        <v>170</v>
      </c>
    </row>
    <row r="13" ht="14.25" customHeight="1">
      <c r="A13" s="10" t="s">
        <v>78</v>
      </c>
      <c r="B13" s="11">
        <v>0.0</v>
      </c>
      <c r="C13" s="13">
        <v>4000.0</v>
      </c>
      <c r="D13" s="10" t="s">
        <v>26</v>
      </c>
      <c r="E13" s="10" t="s">
        <v>174</v>
      </c>
      <c r="F13" s="10" t="s">
        <v>175</v>
      </c>
      <c r="G13" s="33" t="s">
        <v>161</v>
      </c>
      <c r="H13" s="43" t="s">
        <v>176</v>
      </c>
    </row>
    <row r="14" ht="14.25" customHeight="1">
      <c r="A14" s="10" t="s">
        <v>83</v>
      </c>
      <c r="B14" s="11">
        <v>0.0</v>
      </c>
      <c r="C14" s="13">
        <v>3000.0</v>
      </c>
      <c r="D14" s="10" t="s">
        <v>26</v>
      </c>
      <c r="E14" s="10" t="s">
        <v>174</v>
      </c>
      <c r="F14" s="10" t="s">
        <v>177</v>
      </c>
      <c r="G14" s="33" t="s">
        <v>161</v>
      </c>
      <c r="H14" s="43" t="s">
        <v>176</v>
      </c>
    </row>
    <row r="15" ht="14.25" customHeight="1">
      <c r="A15" s="10" t="s">
        <v>178</v>
      </c>
      <c r="B15" s="11">
        <v>0.0</v>
      </c>
      <c r="C15" s="13">
        <v>20000.0</v>
      </c>
      <c r="D15" s="10" t="s">
        <v>26</v>
      </c>
      <c r="E15" s="10" t="s">
        <v>179</v>
      </c>
      <c r="F15" s="10" t="s">
        <v>180</v>
      </c>
      <c r="G15" s="42" t="s">
        <v>156</v>
      </c>
      <c r="H15" s="43" t="s">
        <v>181</v>
      </c>
    </row>
    <row r="16" ht="14.25" customHeight="1">
      <c r="A16" s="10" t="s">
        <v>126</v>
      </c>
      <c r="B16" s="11">
        <v>0.0</v>
      </c>
      <c r="C16" s="13">
        <v>1000.0</v>
      </c>
      <c r="D16" s="10" t="s">
        <v>26</v>
      </c>
      <c r="E16" s="10" t="s">
        <v>182</v>
      </c>
      <c r="F16" s="10" t="s">
        <v>183</v>
      </c>
      <c r="G16" s="33" t="s">
        <v>161</v>
      </c>
      <c r="H16" s="10" t="s">
        <v>184</v>
      </c>
    </row>
    <row r="17" ht="14.25" customHeight="1">
      <c r="A17" s="10" t="s">
        <v>97</v>
      </c>
      <c r="B17" s="11">
        <v>0.0</v>
      </c>
      <c r="C17" s="13">
        <v>500.0</v>
      </c>
      <c r="D17" s="10" t="s">
        <v>26</v>
      </c>
      <c r="E17" s="10" t="s">
        <v>185</v>
      </c>
      <c r="F17" s="10" t="s">
        <v>186</v>
      </c>
      <c r="G17" s="10" t="s">
        <v>152</v>
      </c>
      <c r="H17" s="43" t="s">
        <v>187</v>
      </c>
    </row>
    <row r="18" ht="14.25" customHeight="1"/>
    <row r="19" ht="14.25" customHeight="1"/>
    <row r="20" ht="14.25" customHeight="1">
      <c r="A20" s="3" t="s">
        <v>188</v>
      </c>
    </row>
    <row r="21" ht="14.25" customHeight="1">
      <c r="A21" s="8" t="s">
        <v>189</v>
      </c>
    </row>
    <row r="22" ht="14.25" customHeight="1">
      <c r="A22" s="8" t="s">
        <v>190</v>
      </c>
    </row>
    <row r="23" ht="14.25" customHeight="1">
      <c r="A23" s="8" t="s">
        <v>191</v>
      </c>
    </row>
    <row r="24" ht="14.25" customHeight="1">
      <c r="A24" s="8" t="s">
        <v>192</v>
      </c>
    </row>
    <row r="25" ht="14.25" customHeight="1">
      <c r="A25" s="8" t="s">
        <v>193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3:H3"/>
    <mergeCell ref="A21:H21"/>
    <mergeCell ref="A22:H22"/>
    <mergeCell ref="A23:H23"/>
    <mergeCell ref="A24:H24"/>
    <mergeCell ref="A25:H2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0"/>
    <col customWidth="1" min="4" max="4" width="25.0"/>
    <col customWidth="1" min="5" max="5" width="20.0"/>
    <col customWidth="1" min="6" max="26" width="8.71"/>
  </cols>
  <sheetData>
    <row r="1" ht="14.25" customHeight="1">
      <c r="A1" s="26" t="s">
        <v>194</v>
      </c>
    </row>
    <row r="2" ht="14.25" customHeight="1"/>
    <row r="3" ht="14.25" customHeight="1">
      <c r="A3" s="44" t="s">
        <v>195</v>
      </c>
    </row>
    <row r="4" ht="14.25" customHeight="1"/>
    <row r="5" ht="14.25" customHeight="1">
      <c r="A5" s="3" t="s">
        <v>196</v>
      </c>
    </row>
    <row r="6" ht="14.25" customHeight="1">
      <c r="A6" s="39" t="s">
        <v>197</v>
      </c>
      <c r="B6" s="39" t="s">
        <v>198</v>
      </c>
      <c r="C6" s="39" t="s">
        <v>199</v>
      </c>
    </row>
    <row r="7" ht="14.25" customHeight="1">
      <c r="A7" s="40" t="s">
        <v>200</v>
      </c>
      <c r="B7" s="40" t="s">
        <v>201</v>
      </c>
      <c r="C7" s="40" t="s">
        <v>202</v>
      </c>
    </row>
    <row r="8" ht="14.25" customHeight="1">
      <c r="A8" s="40" t="s">
        <v>203</v>
      </c>
      <c r="B8" s="40" t="s">
        <v>204</v>
      </c>
      <c r="C8" s="40" t="s">
        <v>205</v>
      </c>
    </row>
    <row r="9" ht="14.25" customHeight="1">
      <c r="A9" s="40" t="s">
        <v>206</v>
      </c>
      <c r="B9" s="40" t="s">
        <v>207</v>
      </c>
      <c r="C9" s="40" t="s">
        <v>208</v>
      </c>
    </row>
    <row r="10" ht="14.25" customHeight="1">
      <c r="A10" s="40" t="s">
        <v>209</v>
      </c>
      <c r="B10" s="40" t="s">
        <v>210</v>
      </c>
      <c r="C10" s="40" t="s">
        <v>211</v>
      </c>
    </row>
    <row r="11" ht="14.25" customHeight="1">
      <c r="A11" s="40" t="s">
        <v>209</v>
      </c>
      <c r="B11" s="40" t="s">
        <v>212</v>
      </c>
      <c r="C11" s="40" t="s">
        <v>213</v>
      </c>
    </row>
    <row r="12" ht="14.25" customHeight="1"/>
    <row r="13" ht="14.25" customHeight="1"/>
    <row r="14" ht="14.25" customHeight="1">
      <c r="A14" s="3" t="s">
        <v>214</v>
      </c>
    </row>
    <row r="15" ht="14.25" customHeight="1">
      <c r="A15" s="4" t="s">
        <v>215</v>
      </c>
      <c r="B15" s="8" t="s">
        <v>216</v>
      </c>
    </row>
    <row r="16" ht="14.25" customHeight="1"/>
    <row r="17" ht="14.25" customHeight="1">
      <c r="A17" s="4" t="s">
        <v>217</v>
      </c>
    </row>
    <row r="18" ht="14.25" customHeight="1">
      <c r="A18" s="8" t="s">
        <v>218</v>
      </c>
    </row>
    <row r="19" ht="14.25" customHeight="1">
      <c r="A19" s="8" t="s">
        <v>219</v>
      </c>
    </row>
    <row r="20" ht="14.25" customHeight="1">
      <c r="A20" s="8" t="s">
        <v>220</v>
      </c>
    </row>
    <row r="21" ht="14.25" customHeight="1">
      <c r="A21" s="8" t="s">
        <v>221</v>
      </c>
    </row>
    <row r="22" ht="14.25" customHeight="1">
      <c r="A22" s="8" t="s">
        <v>222</v>
      </c>
    </row>
    <row r="23" ht="14.25" customHeight="1">
      <c r="A23" s="8" t="s">
        <v>223</v>
      </c>
    </row>
    <row r="24" ht="14.25" customHeight="1"/>
    <row r="25" ht="14.25" customHeight="1">
      <c r="A25" s="3" t="s">
        <v>224</v>
      </c>
    </row>
    <row r="26" ht="14.25" customHeight="1"/>
    <row r="27" ht="14.25" customHeight="1">
      <c r="A27" s="45" t="s">
        <v>225</v>
      </c>
      <c r="C27" s="3" t="s">
        <v>226</v>
      </c>
    </row>
    <row r="28" ht="14.25" customHeight="1">
      <c r="A28" s="5" t="s">
        <v>227</v>
      </c>
      <c r="C28" s="5" t="s">
        <v>228</v>
      </c>
    </row>
    <row r="29" ht="14.25" customHeight="1">
      <c r="A29" s="5" t="s">
        <v>229</v>
      </c>
      <c r="C29" s="5" t="s">
        <v>230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22:E22"/>
    <mergeCell ref="A23:E23"/>
    <mergeCell ref="A1:E1"/>
    <mergeCell ref="A3:E3"/>
    <mergeCell ref="B15:E15"/>
    <mergeCell ref="A18:E18"/>
    <mergeCell ref="A19:E19"/>
    <mergeCell ref="A20:E20"/>
    <mergeCell ref="A21:E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2026-01-14T22:29:03Z</dcterms:created>
  <dc:creator>openpyxl</dc:creator>
</cp:coreProperties>
</file>